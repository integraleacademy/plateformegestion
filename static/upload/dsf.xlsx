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clementvaillant/Desktop/"/>
    </mc:Choice>
  </mc:AlternateContent>
  <xr:revisionPtr revIDLastSave="0" documentId="13_ncr:1_{3686D086-7110-EB41-89EE-183CD22202E2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DSF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6" l="1"/>
  <c r="B32" i="6"/>
  <c r="B31" i="6"/>
  <c r="B30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5" i="6"/>
  <c r="B24" i="6"/>
  <c r="B23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1" i="6"/>
  <c r="B20" i="6"/>
  <c r="B19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7" i="6"/>
  <c r="B16" i="6"/>
  <c r="B15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3" i="6"/>
  <c r="B12" i="6"/>
  <c r="B11" i="6"/>
  <c r="B26" i="6" l="1"/>
  <c r="B14" i="6"/>
  <c r="B28" i="6"/>
  <c r="B27" i="6"/>
  <c r="M29" i="6"/>
  <c r="R29" i="6"/>
  <c r="B18" i="6"/>
  <c r="Q29" i="6"/>
  <c r="J29" i="6"/>
  <c r="N29" i="6"/>
  <c r="P29" i="6"/>
  <c r="O29" i="6"/>
  <c r="B22" i="6"/>
  <c r="L29" i="6"/>
  <c r="K29" i="6"/>
  <c r="I29" i="6"/>
  <c r="H29" i="6"/>
  <c r="G29" i="6"/>
  <c r="F29" i="6"/>
  <c r="E29" i="6"/>
  <c r="D29" i="6"/>
  <c r="C29" i="6"/>
  <c r="B29" i="6" l="1"/>
</calcChain>
</file>

<file path=xl/sharedStrings.xml><?xml version="1.0" encoding="utf-8"?>
<sst xmlns="http://schemas.openxmlformats.org/spreadsheetml/2006/main" count="59" uniqueCount="51">
  <si>
    <t>VOLUMES HORAIRES</t>
  </si>
  <si>
    <t>TOTAL</t>
  </si>
  <si>
    <t>nom prénom
n°IDE</t>
  </si>
  <si>
    <t>SEQUENCES</t>
  </si>
  <si>
    <t>Total des heures du 
plan individualisé de formation</t>
  </si>
  <si>
    <t>Sous-Total des
 heures facturables</t>
  </si>
  <si>
    <t>ATTESTATION D'ASSIDUITE</t>
  </si>
  <si>
    <t>OF mandataire :</t>
  </si>
  <si>
    <t>Lieu de la formation :</t>
  </si>
  <si>
    <t>N° de Convention :</t>
  </si>
  <si>
    <t>Absences non justifiées ( non finançables)</t>
  </si>
  <si>
    <t>Absences autorisées (finançables)</t>
  </si>
  <si>
    <t>Absences autorisées FP (finançables)</t>
  </si>
  <si>
    <t>Absences non justifiées FP ( non finançables)</t>
  </si>
  <si>
    <t>Absences autorisées RAN (finançables)</t>
  </si>
  <si>
    <t>Absences non justifiées RAN ( non finançables)</t>
  </si>
  <si>
    <t>TOTAL Heures finançables</t>
  </si>
  <si>
    <t xml:space="preserve">Absences autorisées </t>
  </si>
  <si>
    <t xml:space="preserve">Absences non justifiées </t>
  </si>
  <si>
    <t xml:space="preserve"> </t>
  </si>
  <si>
    <t xml:space="preserve">Période de facturation </t>
  </si>
  <si>
    <t>du :</t>
  </si>
  <si>
    <t>au :</t>
  </si>
  <si>
    <t xml:space="preserve">Intitulé de la formation : </t>
  </si>
  <si>
    <t xml:space="preserve">Dates de session : </t>
  </si>
  <si>
    <t xml:space="preserve">au : </t>
  </si>
  <si>
    <t xml:space="preserve">du : </t>
  </si>
  <si>
    <t>DSF n° :</t>
  </si>
  <si>
    <t>REMISE à NIVEAU</t>
  </si>
  <si>
    <t>SOUTIEN PERSONNALISE/APPUI PEDAGOGIQUE</t>
  </si>
  <si>
    <t>FESTE - Période en entreprise</t>
  </si>
  <si>
    <t>Sous-Total des
 heures NON facturables</t>
  </si>
  <si>
    <r>
      <t xml:space="preserve">Dont heures en DISTANCIEL </t>
    </r>
    <r>
      <rPr>
        <b/>
        <sz val="10"/>
        <color theme="1"/>
        <rFont val="Calibri"/>
        <family val="2"/>
        <scheme val="minor"/>
      </rPr>
      <t>attestées  (</t>
    </r>
    <r>
      <rPr>
        <b/>
        <i/>
        <sz val="10"/>
        <color theme="1"/>
        <rFont val="Calibri"/>
        <family val="2"/>
        <scheme val="minor"/>
      </rPr>
      <t>Cf Attestation de participation FOAD correspondant au total d'heures suivies par le stagiaire)</t>
    </r>
  </si>
  <si>
    <t>FORMATION TECHNIQUE</t>
  </si>
  <si>
    <t>PREPARATION A L APRES FORMATION</t>
  </si>
  <si>
    <t>INTEGRALE SECURITE FORMATIONS</t>
  </si>
  <si>
    <t>Agent de prévention et de sécurité (APS) + SSIAP 1</t>
  </si>
  <si>
    <t>54 chemin du carreou, 83480 PUGET SUR ARGENS</t>
  </si>
  <si>
    <t>LAM ALAM Moustapha 6185389Z</t>
  </si>
  <si>
    <t>CHABAUD David 5734054T</t>
  </si>
  <si>
    <t>CHERIF Amel 5734452A</t>
  </si>
  <si>
    <t>DUBREUIL Jade 6164850Z</t>
  </si>
  <si>
    <t>TAYFER Marc 5479898L</t>
  </si>
  <si>
    <t>GALLIER David 5824688H</t>
  </si>
  <si>
    <t>LARDJANE Zinedine 6109362L</t>
  </si>
  <si>
    <t>NANKAM MONE VONDO Gervais 5835017K</t>
  </si>
  <si>
    <t>OUFQIH Yannis 5895870E</t>
  </si>
  <si>
    <t>RUELLE Alex 5980401L</t>
  </si>
  <si>
    <t>SCHOSSELER Gabin 5756804W</t>
  </si>
  <si>
    <t>SCHAIEB Mohamed 6074026C</t>
  </si>
  <si>
    <t>41C32B061177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</si>
</sst>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6" fillId="0" borderId="0" xfId="0" applyFont="1"/>
    <xf numFmtId="0" fontId="7" fillId="0" borderId="7" xfId="0" applyFont="1" applyBorder="1" applyAlignment="1" applyProtection="1">
      <alignment vertical="center"/>
      <protection locked="0"/>
    </xf>
    <xf numFmtId="0" fontId="7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center" vertical="center"/>
    </xf>
    <xf numFmtId="0" fontId="0" fillId="3" borderId="15" xfId="0" applyFill="1" applyBorder="1" applyAlignment="1" applyProtection="1">
      <alignment horizontal="center" vertical="center"/>
      <protection locked="0"/>
    </xf>
    <xf numFmtId="0" fontId="0" fillId="3" borderId="16" xfId="0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left" vertical="center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0" fillId="3" borderId="21" xfId="0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/>
    <xf numFmtId="0" fontId="4" fillId="3" borderId="5" xfId="0" applyFont="1" applyFill="1" applyBorder="1" applyAlignment="1" applyProtection="1">
      <alignment horizontal="center" vertical="center"/>
      <protection locked="0"/>
    </xf>
    <xf numFmtId="0" fontId="4" fillId="3" borderId="19" xfId="0" applyFont="1" applyFill="1" applyBorder="1" applyAlignment="1" applyProtection="1">
      <alignment horizontal="center" vertical="center"/>
      <protection locked="0"/>
    </xf>
    <xf numFmtId="0" fontId="1" fillId="4" borderId="14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center" vertical="center"/>
    </xf>
    <xf numFmtId="0" fontId="0" fillId="4" borderId="15" xfId="0" applyFill="1" applyBorder="1" applyAlignment="1" applyProtection="1">
      <alignment horizontal="center" vertical="center"/>
      <protection locked="0"/>
    </xf>
    <xf numFmtId="0" fontId="0" fillId="4" borderId="16" xfId="0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4" borderId="18" xfId="0" applyFont="1" applyFill="1" applyBorder="1" applyAlignment="1" applyProtection="1">
      <alignment horizontal="center" vertical="center"/>
      <protection locked="0"/>
    </xf>
    <xf numFmtId="0" fontId="4" fillId="4" borderId="5" xfId="0" applyFont="1" applyFill="1" applyBorder="1" applyAlignment="1" applyProtection="1">
      <alignment horizontal="center" vertical="center"/>
      <protection locked="0"/>
    </xf>
    <xf numFmtId="0" fontId="4" fillId="4" borderId="19" xfId="0" applyFont="1" applyFill="1" applyBorder="1" applyAlignment="1" applyProtection="1">
      <alignment horizontal="center" vertical="center"/>
      <protection locked="0"/>
    </xf>
    <xf numFmtId="0" fontId="1" fillId="4" borderId="27" xfId="0" applyFont="1" applyFill="1" applyBorder="1" applyAlignment="1">
      <alignment horizontal="left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0" xfId="0" applyFont="1" applyFill="1" applyBorder="1" applyAlignment="1" applyProtection="1">
      <alignment horizontal="center" vertical="center"/>
      <protection locked="0"/>
    </xf>
    <xf numFmtId="0" fontId="0" fillId="4" borderId="19" xfId="0" applyFill="1" applyBorder="1" applyAlignment="1" applyProtection="1">
      <alignment horizontal="center" vertical="center"/>
      <protection locked="0"/>
    </xf>
    <xf numFmtId="0" fontId="1" fillId="5" borderId="14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center" vertical="center"/>
    </xf>
    <xf numFmtId="0" fontId="0" fillId="5" borderId="15" xfId="0" applyFill="1" applyBorder="1" applyAlignment="1" applyProtection="1">
      <alignment horizontal="center" vertical="center"/>
      <protection locked="0"/>
    </xf>
    <xf numFmtId="0" fontId="0" fillId="5" borderId="16" xfId="0" applyFill="1" applyBorder="1" applyAlignment="1" applyProtection="1">
      <alignment horizontal="center" vertical="center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5" borderId="19" xfId="0" applyFont="1" applyFill="1" applyBorder="1" applyAlignment="1" applyProtection="1">
      <alignment horizontal="center" vertical="center"/>
      <protection locked="0"/>
    </xf>
    <xf numFmtId="0" fontId="1" fillId="5" borderId="24" xfId="0" applyFont="1" applyFill="1" applyBorder="1" applyAlignment="1">
      <alignment horizontal="left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0" xfId="0" applyFont="1" applyFill="1" applyBorder="1" applyAlignment="1" applyProtection="1">
      <alignment horizontal="center" vertical="center"/>
      <protection locked="0"/>
    </xf>
    <xf numFmtId="0" fontId="0" fillId="5" borderId="19" xfId="0" applyFill="1" applyBorder="1" applyAlignment="1" applyProtection="1">
      <alignment horizontal="center" vertical="center"/>
      <protection locked="0"/>
    </xf>
    <xf numFmtId="0" fontId="1" fillId="6" borderId="14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center" vertical="center"/>
    </xf>
    <xf numFmtId="0" fontId="0" fillId="6" borderId="15" xfId="0" applyFill="1" applyBorder="1" applyAlignment="1" applyProtection="1">
      <alignment horizontal="center" vertical="center"/>
      <protection locked="0"/>
    </xf>
    <xf numFmtId="0" fontId="0" fillId="6" borderId="16" xfId="0" applyFill="1" applyBorder="1" applyAlignment="1" applyProtection="1">
      <alignment horizontal="center" vertical="center"/>
      <protection locked="0"/>
    </xf>
    <xf numFmtId="0" fontId="4" fillId="6" borderId="5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/>
      <protection locked="0"/>
    </xf>
    <xf numFmtId="0" fontId="1" fillId="6" borderId="27" xfId="0" applyFont="1" applyFill="1" applyBorder="1" applyAlignment="1">
      <alignment horizontal="left" vertical="center"/>
    </xf>
    <xf numFmtId="0" fontId="1" fillId="6" borderId="10" xfId="0" applyFont="1" applyFill="1" applyBorder="1" applyAlignment="1">
      <alignment horizontal="center"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0" fillId="6" borderId="19" xfId="0" applyFill="1" applyBorder="1" applyAlignment="1" applyProtection="1">
      <alignment horizontal="center" vertical="center"/>
      <protection locked="0"/>
    </xf>
    <xf numFmtId="0" fontId="1" fillId="7" borderId="14" xfId="0" applyFont="1" applyFill="1" applyBorder="1" applyAlignment="1">
      <alignment horizontal="left" vertical="center"/>
    </xf>
    <xf numFmtId="0" fontId="1" fillId="7" borderId="15" xfId="0" applyFont="1" applyFill="1" applyBorder="1" applyAlignment="1">
      <alignment horizontal="center" vertical="center"/>
    </xf>
    <xf numFmtId="0" fontId="4" fillId="7" borderId="25" xfId="0" applyFont="1" applyFill="1" applyBorder="1" applyAlignment="1" applyProtection="1">
      <alignment horizontal="center" vertical="center"/>
      <protection locked="0"/>
    </xf>
    <xf numFmtId="0" fontId="4" fillId="7" borderId="26" xfId="0" applyFont="1" applyFill="1" applyBorder="1" applyAlignment="1" applyProtection="1">
      <alignment horizontal="center" vertical="center"/>
      <protection locked="0"/>
    </xf>
    <xf numFmtId="0" fontId="4" fillId="7" borderId="10" xfId="0" applyFont="1" applyFill="1" applyBorder="1" applyAlignment="1" applyProtection="1">
      <alignment horizontal="center" vertical="center"/>
      <protection locked="0"/>
    </xf>
    <xf numFmtId="0" fontId="4" fillId="7" borderId="23" xfId="0" applyFont="1" applyFill="1" applyBorder="1" applyAlignment="1" applyProtection="1">
      <alignment horizontal="center" vertical="center"/>
      <protection locked="0"/>
    </xf>
    <xf numFmtId="0" fontId="3" fillId="8" borderId="5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left" vertical="center"/>
    </xf>
    <xf numFmtId="0" fontId="4" fillId="6" borderId="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4" fillId="7" borderId="20" xfId="0" applyFont="1" applyFill="1" applyBorder="1" applyAlignment="1" applyProtection="1">
      <alignment horizontal="center" vertical="center"/>
      <protection locked="0"/>
    </xf>
    <xf numFmtId="0" fontId="4" fillId="7" borderId="21" xfId="0" applyFont="1" applyFill="1" applyBorder="1" applyAlignment="1" applyProtection="1">
      <alignment horizontal="center" vertical="center"/>
      <protection locked="0"/>
    </xf>
    <xf numFmtId="0" fontId="4" fillId="7" borderId="22" xfId="0" applyFont="1" applyFill="1" applyBorder="1" applyAlignment="1">
      <alignment horizontal="left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1" fillId="9" borderId="14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1" fillId="4" borderId="28" xfId="0" applyFont="1" applyFill="1" applyBorder="1" applyAlignment="1">
      <alignment horizontal="center" vertical="center" wrapText="1"/>
    </xf>
    <xf numFmtId="0" fontId="1" fillId="10" borderId="24" xfId="0" applyFont="1" applyFill="1" applyBorder="1" applyAlignment="1">
      <alignment horizontal="left" vertical="center" wrapText="1"/>
    </xf>
    <xf numFmtId="0" fontId="1" fillId="10" borderId="20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0" fillId="7" borderId="0" xfId="0" applyFill="1"/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11" fillId="11" borderId="12" xfId="0" applyFont="1" applyFill="1" applyBorder="1" applyAlignment="1" applyProtection="1">
      <alignment horizontal="center" vertical="center" wrapText="1"/>
      <protection locked="0"/>
    </xf>
    <xf numFmtId="0" fontId="11" fillId="11" borderId="30" xfId="0" applyFont="1" applyFill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4" fontId="0" fillId="0" borderId="7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1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4" fontId="7" fillId="12" borderId="7" xfId="0" applyNumberFormat="1" applyFont="1" applyFill="1" applyBorder="1" applyAlignment="1" applyProtection="1">
      <alignment horizontal="center" vertical="center"/>
      <protection locked="0"/>
    </xf>
    <xf numFmtId="0" fontId="7" fillId="12" borderId="9" xfId="0" applyFont="1" applyFill="1" applyBorder="1" applyAlignment="1" applyProtection="1">
      <alignment horizontal="center" vertical="center"/>
      <protection locked="0"/>
    </xf>
    <xf numFmtId="0" fontId="7" fillId="12" borderId="7" xfId="0" applyFont="1" applyFill="1" applyBorder="1" applyAlignment="1" applyProtection="1">
      <alignment horizontal="center" vertical="center"/>
      <protection locked="0"/>
    </xf>
    <xf numFmtId="0" fontId="7" fillId="12" borderId="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9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D9BA-10B1-4816-A261-5A247627D642}">
  <sheetPr>
    <pageSetUpPr fitToPage="1"/>
  </sheetPr>
  <dimension ref="A1:R33"/>
  <sheetViews>
    <sheetView tabSelected="1" zoomScale="90" zoomScaleNormal="90" workbookViewId="0">
      <selection activeCell="A5" sqref="A5"/>
    </sheetView>
  </sheetViews>
  <sheetFormatPr baseColWidth="10" defaultRowHeight="15" x14ac:dyDescent="0.2"/>
  <cols>
    <col min="1" max="1" width="43.6640625" customWidth="1"/>
    <col min="13" max="13" width="16.33203125" customWidth="1"/>
  </cols>
  <sheetData>
    <row r="1" spans="1:18" ht="24" x14ac:dyDescent="0.3">
      <c r="B1" s="102" t="s">
        <v>6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8" ht="21" x14ac:dyDescent="0.25">
      <c r="B2" s="1"/>
      <c r="C2" s="1"/>
      <c r="D2" s="1"/>
      <c r="E2" s="1"/>
      <c r="F2" s="1"/>
      <c r="G2" s="1"/>
      <c r="H2" s="1"/>
    </row>
    <row r="3" spans="1:18" ht="16" x14ac:dyDescent="0.2">
      <c r="B3" s="91" t="s">
        <v>7</v>
      </c>
      <c r="C3" s="92"/>
      <c r="D3" s="91" t="s">
        <v>35</v>
      </c>
      <c r="E3" s="92"/>
      <c r="F3" s="93"/>
      <c r="G3" s="3"/>
      <c r="H3" s="91" t="s">
        <v>23</v>
      </c>
      <c r="I3" s="92"/>
      <c r="J3" s="93"/>
      <c r="K3" s="91" t="s">
        <v>36</v>
      </c>
      <c r="L3" s="92"/>
      <c r="M3" s="92"/>
      <c r="N3" s="92"/>
      <c r="O3" s="92"/>
      <c r="P3" s="92"/>
      <c r="Q3" s="92"/>
      <c r="R3" s="93"/>
    </row>
    <row r="4" spans="1:18" ht="16" x14ac:dyDescent="0.2">
      <c r="B4" s="91" t="s">
        <v>9</v>
      </c>
      <c r="C4" s="92"/>
      <c r="D4" s="91" t="s">
        <v>50</v>
      </c>
      <c r="E4" s="92"/>
      <c r="F4" s="93"/>
      <c r="G4" s="3"/>
      <c r="H4" s="91" t="s">
        <v>8</v>
      </c>
      <c r="I4" s="92"/>
      <c r="J4" s="93"/>
      <c r="K4" s="103" t="s">
        <v>37</v>
      </c>
      <c r="L4" s="104"/>
      <c r="M4" s="105"/>
    </row>
    <row r="5" spans="1:18" ht="16" x14ac:dyDescent="0.2">
      <c r="B5" s="3"/>
      <c r="C5" s="3"/>
      <c r="D5" s="3"/>
      <c r="E5" s="3"/>
      <c r="F5" s="3"/>
      <c r="G5" s="3"/>
      <c r="H5" s="91" t="s">
        <v>24</v>
      </c>
      <c r="I5" s="92"/>
      <c r="J5" s="93"/>
      <c r="K5" s="19" t="s">
        <v>21</v>
      </c>
      <c r="L5" s="94">
        <v>46113</v>
      </c>
      <c r="M5" s="95"/>
      <c r="N5" t="s">
        <v>25</v>
      </c>
      <c r="O5" s="96">
        <v>46199</v>
      </c>
      <c r="P5" s="97"/>
    </row>
    <row r="6" spans="1:18" ht="16" x14ac:dyDescent="0.2">
      <c r="B6" s="91" t="s">
        <v>20</v>
      </c>
      <c r="C6" s="93"/>
      <c r="D6" s="5" t="s">
        <v>26</v>
      </c>
      <c r="E6" s="98">
        <v>46113</v>
      </c>
      <c r="F6" s="99"/>
      <c r="G6" s="3"/>
      <c r="H6" s="3"/>
      <c r="I6" s="3"/>
      <c r="J6" s="4"/>
      <c r="K6" s="4"/>
      <c r="L6" s="4"/>
    </row>
    <row r="7" spans="1:18" ht="16" x14ac:dyDescent="0.2">
      <c r="B7" s="5" t="s">
        <v>19</v>
      </c>
      <c r="C7" s="5"/>
      <c r="D7" s="5" t="s">
        <v>22</v>
      </c>
      <c r="E7" s="98">
        <v>46125</v>
      </c>
      <c r="F7" s="99"/>
      <c r="G7" s="3"/>
      <c r="H7" s="2" t="s">
        <v>27</v>
      </c>
      <c r="I7" s="100">
        <v>1</v>
      </c>
      <c r="J7" s="101"/>
      <c r="K7" s="99"/>
      <c r="L7" s="4"/>
    </row>
    <row r="8" spans="1:18" ht="17" thickBot="1" x14ac:dyDescent="0.25">
      <c r="F8" s="5"/>
      <c r="G8" s="3"/>
      <c r="H8" s="5"/>
      <c r="I8" s="5"/>
      <c r="J8" s="6"/>
      <c r="K8" s="4"/>
      <c r="L8" s="4"/>
    </row>
    <row r="9" spans="1:18" ht="21" thickTop="1" thickBot="1" x14ac:dyDescent="0.25">
      <c r="A9" s="85"/>
      <c r="B9" s="86" t="s">
        <v>0</v>
      </c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8"/>
    </row>
    <row r="10" spans="1:18" ht="82" thickTop="1" thickBot="1" x14ac:dyDescent="0.25">
      <c r="A10" s="7" t="s">
        <v>3</v>
      </c>
      <c r="B10" s="8" t="s">
        <v>1</v>
      </c>
      <c r="C10" s="89" t="s">
        <v>38</v>
      </c>
      <c r="D10" s="90" t="s">
        <v>39</v>
      </c>
      <c r="E10" s="90" t="s">
        <v>40</v>
      </c>
      <c r="F10" s="90" t="s">
        <v>41</v>
      </c>
      <c r="G10" s="90" t="s">
        <v>42</v>
      </c>
      <c r="H10" s="90" t="s">
        <v>43</v>
      </c>
      <c r="I10" s="90" t="s">
        <v>44</v>
      </c>
      <c r="J10" s="90" t="s">
        <v>45</v>
      </c>
      <c r="K10" s="90" t="s">
        <v>46</v>
      </c>
      <c r="L10" s="90" t="s">
        <v>47</v>
      </c>
      <c r="M10" s="90" t="s">
        <v>48</v>
      </c>
      <c r="N10" s="90" t="s">
        <v>49</v>
      </c>
      <c r="O10" s="9" t="s">
        <v>2</v>
      </c>
      <c r="P10" s="9" t="s">
        <v>2</v>
      </c>
      <c r="Q10" s="9" t="s">
        <v>2</v>
      </c>
      <c r="R10" s="10" t="s">
        <v>2</v>
      </c>
    </row>
    <row r="11" spans="1:18" x14ac:dyDescent="0.2">
      <c r="A11" s="23" t="s">
        <v>33</v>
      </c>
      <c r="B11" s="24">
        <f>SUM(C11:R11)</f>
        <v>0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6"/>
    </row>
    <row r="12" spans="1:18" s="20" customFormat="1" x14ac:dyDescent="0.2">
      <c r="A12" s="64" t="s">
        <v>12</v>
      </c>
      <c r="B12" s="65">
        <f>SUM(C12:R12)</f>
        <v>0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8"/>
    </row>
    <row r="13" spans="1:18" s="20" customFormat="1" x14ac:dyDescent="0.2">
      <c r="A13" s="64" t="s">
        <v>13</v>
      </c>
      <c r="B13" s="66">
        <f>SUM(C13:R13)</f>
        <v>0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/>
    </row>
    <row r="14" spans="1:18" ht="16" thickBot="1" x14ac:dyDescent="0.25">
      <c r="A14" s="31" t="s">
        <v>16</v>
      </c>
      <c r="B14" s="32">
        <f>B11+B12</f>
        <v>0</v>
      </c>
      <c r="C14" s="33">
        <f>C11+C12</f>
        <v>0</v>
      </c>
      <c r="D14" s="33">
        <f t="shared" ref="D14:R14" si="0">D11+D12</f>
        <v>0</v>
      </c>
      <c r="E14" s="33">
        <f t="shared" si="0"/>
        <v>0</v>
      </c>
      <c r="F14" s="33">
        <f t="shared" si="0"/>
        <v>0</v>
      </c>
      <c r="G14" s="33">
        <f t="shared" si="0"/>
        <v>0</v>
      </c>
      <c r="H14" s="33">
        <f t="shared" si="0"/>
        <v>0</v>
      </c>
      <c r="I14" s="33">
        <f t="shared" si="0"/>
        <v>0</v>
      </c>
      <c r="J14" s="33">
        <f t="shared" si="0"/>
        <v>0</v>
      </c>
      <c r="K14" s="33">
        <f t="shared" si="0"/>
        <v>0</v>
      </c>
      <c r="L14" s="33">
        <f t="shared" si="0"/>
        <v>0</v>
      </c>
      <c r="M14" s="33">
        <f t="shared" si="0"/>
        <v>0</v>
      </c>
      <c r="N14" s="33">
        <f t="shared" si="0"/>
        <v>0</v>
      </c>
      <c r="O14" s="33">
        <f t="shared" si="0"/>
        <v>0</v>
      </c>
      <c r="P14" s="33">
        <f t="shared" si="0"/>
        <v>0</v>
      </c>
      <c r="Q14" s="33">
        <f t="shared" si="0"/>
        <v>0</v>
      </c>
      <c r="R14" s="34">
        <f t="shared" si="0"/>
        <v>0</v>
      </c>
    </row>
    <row r="15" spans="1:18" x14ac:dyDescent="0.2">
      <c r="A15" s="45" t="s">
        <v>28</v>
      </c>
      <c r="B15" s="46">
        <f>SUM(C15:R15)</f>
        <v>465</v>
      </c>
      <c r="C15" s="47">
        <v>0</v>
      </c>
      <c r="D15" s="47">
        <v>54</v>
      </c>
      <c r="E15" s="47">
        <v>54</v>
      </c>
      <c r="F15" s="47">
        <v>54</v>
      </c>
      <c r="G15" s="47">
        <v>54</v>
      </c>
      <c r="H15" s="47">
        <v>54</v>
      </c>
      <c r="I15" s="47">
        <v>54</v>
      </c>
      <c r="J15" s="47">
        <v>0</v>
      </c>
      <c r="K15" s="47">
        <v>33</v>
      </c>
      <c r="L15" s="47">
        <v>54</v>
      </c>
      <c r="M15" s="47">
        <v>0</v>
      </c>
      <c r="N15" s="47">
        <v>54</v>
      </c>
      <c r="O15" s="47"/>
      <c r="P15" s="47"/>
      <c r="Q15" s="47"/>
      <c r="R15" s="48"/>
    </row>
    <row r="16" spans="1:18" s="20" customFormat="1" x14ac:dyDescent="0.2">
      <c r="A16" s="67" t="s">
        <v>14</v>
      </c>
      <c r="B16" s="68">
        <f>SUM(C16:R16)</f>
        <v>0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50"/>
    </row>
    <row r="17" spans="1:18" s="20" customFormat="1" x14ac:dyDescent="0.2">
      <c r="A17" s="67" t="s">
        <v>15</v>
      </c>
      <c r="B17" s="68">
        <f>SUM(C17:R17)</f>
        <v>0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50"/>
    </row>
    <row r="18" spans="1:18" ht="16" thickBot="1" x14ac:dyDescent="0.25">
      <c r="A18" s="51" t="s">
        <v>16</v>
      </c>
      <c r="B18" s="52">
        <f>B15+B16</f>
        <v>465</v>
      </c>
      <c r="C18" s="53">
        <f>C15+C16</f>
        <v>0</v>
      </c>
      <c r="D18" s="53">
        <f t="shared" ref="D18:R18" si="1">D15+D16</f>
        <v>54</v>
      </c>
      <c r="E18" s="53">
        <f t="shared" si="1"/>
        <v>54</v>
      </c>
      <c r="F18" s="53">
        <f t="shared" si="1"/>
        <v>54</v>
      </c>
      <c r="G18" s="53">
        <f t="shared" si="1"/>
        <v>54</v>
      </c>
      <c r="H18" s="53">
        <f t="shared" si="1"/>
        <v>54</v>
      </c>
      <c r="I18" s="53">
        <f t="shared" si="1"/>
        <v>54</v>
      </c>
      <c r="J18" s="53">
        <f t="shared" si="1"/>
        <v>0</v>
      </c>
      <c r="K18" s="53">
        <f t="shared" si="1"/>
        <v>33</v>
      </c>
      <c r="L18" s="53">
        <f t="shared" si="1"/>
        <v>54</v>
      </c>
      <c r="M18" s="53">
        <f t="shared" si="1"/>
        <v>0</v>
      </c>
      <c r="N18" s="53">
        <f t="shared" si="1"/>
        <v>54</v>
      </c>
      <c r="O18" s="53">
        <f t="shared" si="1"/>
        <v>0</v>
      </c>
      <c r="P18" s="53">
        <f t="shared" si="1"/>
        <v>0</v>
      </c>
      <c r="Q18" s="53">
        <f t="shared" si="1"/>
        <v>0</v>
      </c>
      <c r="R18" s="54">
        <f t="shared" si="1"/>
        <v>0</v>
      </c>
    </row>
    <row r="19" spans="1:18" x14ac:dyDescent="0.2">
      <c r="A19" s="35" t="s">
        <v>29</v>
      </c>
      <c r="B19" s="36">
        <f>SUM(C19:R19)</f>
        <v>0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8"/>
    </row>
    <row r="20" spans="1:18" s="20" customFormat="1" x14ac:dyDescent="0.2">
      <c r="A20" s="69" t="s">
        <v>11</v>
      </c>
      <c r="B20" s="70">
        <f>SUM(C20:R20)</f>
        <v>0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40"/>
    </row>
    <row r="21" spans="1:18" s="20" customFormat="1" x14ac:dyDescent="0.2">
      <c r="A21" s="69" t="s">
        <v>10</v>
      </c>
      <c r="B21" s="70">
        <f>SUM(C21:R21)</f>
        <v>0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40"/>
    </row>
    <row r="22" spans="1:18" ht="16" thickBot="1" x14ac:dyDescent="0.25">
      <c r="A22" s="41" t="s">
        <v>16</v>
      </c>
      <c r="B22" s="42">
        <f>B19+B20</f>
        <v>0</v>
      </c>
      <c r="C22" s="43">
        <f>C19+C20</f>
        <v>0</v>
      </c>
      <c r="D22" s="43">
        <f t="shared" ref="D22:R22" si="2">D19+D20</f>
        <v>0</v>
      </c>
      <c r="E22" s="43">
        <f t="shared" si="2"/>
        <v>0</v>
      </c>
      <c r="F22" s="43">
        <f t="shared" si="2"/>
        <v>0</v>
      </c>
      <c r="G22" s="43">
        <f t="shared" si="2"/>
        <v>0</v>
      </c>
      <c r="H22" s="43">
        <f t="shared" si="2"/>
        <v>0</v>
      </c>
      <c r="I22" s="43">
        <f t="shared" si="2"/>
        <v>0</v>
      </c>
      <c r="J22" s="43">
        <f t="shared" si="2"/>
        <v>0</v>
      </c>
      <c r="K22" s="43">
        <f t="shared" si="2"/>
        <v>0</v>
      </c>
      <c r="L22" s="43">
        <f t="shared" si="2"/>
        <v>0</v>
      </c>
      <c r="M22" s="43">
        <f t="shared" si="2"/>
        <v>0</v>
      </c>
      <c r="N22" s="43">
        <f t="shared" si="2"/>
        <v>0</v>
      </c>
      <c r="O22" s="43">
        <f t="shared" si="2"/>
        <v>0</v>
      </c>
      <c r="P22" s="43">
        <f t="shared" si="2"/>
        <v>0</v>
      </c>
      <c r="Q22" s="43">
        <f t="shared" si="2"/>
        <v>0</v>
      </c>
      <c r="R22" s="44">
        <f t="shared" si="2"/>
        <v>0</v>
      </c>
    </row>
    <row r="23" spans="1:18" x14ac:dyDescent="0.2">
      <c r="A23" s="11" t="s">
        <v>34</v>
      </c>
      <c r="B23" s="12">
        <f>SUM(C23:R23)</f>
        <v>0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4"/>
    </row>
    <row r="24" spans="1:18" s="20" customFormat="1" x14ac:dyDescent="0.2">
      <c r="A24" s="77" t="s">
        <v>11</v>
      </c>
      <c r="B24" s="78">
        <f>SUM(C24:R24)</f>
        <v>0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</row>
    <row r="25" spans="1:18" s="20" customFormat="1" x14ac:dyDescent="0.2">
      <c r="A25" s="77" t="s">
        <v>10</v>
      </c>
      <c r="B25" s="78">
        <f>SUM(C25:R25)</f>
        <v>0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</row>
    <row r="26" spans="1:18" ht="16" thickBot="1" x14ac:dyDescent="0.25">
      <c r="A26" s="16" t="s">
        <v>16</v>
      </c>
      <c r="B26" s="15">
        <f>B23+B24</f>
        <v>0</v>
      </c>
      <c r="C26" s="17">
        <f>C23+C24</f>
        <v>0</v>
      </c>
      <c r="D26" s="17">
        <f t="shared" ref="D26:R26" si="3">D23+D24</f>
        <v>0</v>
      </c>
      <c r="E26" s="17">
        <f t="shared" si="3"/>
        <v>0</v>
      </c>
      <c r="F26" s="17">
        <f t="shared" si="3"/>
        <v>0</v>
      </c>
      <c r="G26" s="17">
        <f t="shared" si="3"/>
        <v>0</v>
      </c>
      <c r="H26" s="17">
        <f t="shared" si="3"/>
        <v>0</v>
      </c>
      <c r="I26" s="17">
        <f t="shared" si="3"/>
        <v>0</v>
      </c>
      <c r="J26" s="17">
        <f t="shared" si="3"/>
        <v>0</v>
      </c>
      <c r="K26" s="17">
        <f t="shared" si="3"/>
        <v>0</v>
      </c>
      <c r="L26" s="17">
        <f t="shared" si="3"/>
        <v>0</v>
      </c>
      <c r="M26" s="17">
        <f t="shared" si="3"/>
        <v>0</v>
      </c>
      <c r="N26" s="17">
        <f t="shared" si="3"/>
        <v>0</v>
      </c>
      <c r="O26" s="17">
        <f t="shared" si="3"/>
        <v>0</v>
      </c>
      <c r="P26" s="17">
        <f t="shared" si="3"/>
        <v>0</v>
      </c>
      <c r="Q26" s="17">
        <f t="shared" si="3"/>
        <v>0</v>
      </c>
      <c r="R26" s="18">
        <f t="shared" si="3"/>
        <v>0</v>
      </c>
    </row>
    <row r="27" spans="1:18" ht="32" x14ac:dyDescent="0.2">
      <c r="A27" s="79" t="s">
        <v>4</v>
      </c>
      <c r="B27" s="62">
        <f t="shared" ref="B27:B33" si="4">SUM(C27:R27)</f>
        <v>465</v>
      </c>
      <c r="C27" s="62">
        <f t="shared" ref="C27:R27" si="5">C11+C15+C19+C23</f>
        <v>0</v>
      </c>
      <c r="D27" s="62">
        <f t="shared" si="5"/>
        <v>54</v>
      </c>
      <c r="E27" s="62">
        <f t="shared" si="5"/>
        <v>54</v>
      </c>
      <c r="F27" s="62">
        <f t="shared" si="5"/>
        <v>54</v>
      </c>
      <c r="G27" s="62">
        <f t="shared" si="5"/>
        <v>54</v>
      </c>
      <c r="H27" s="62">
        <f t="shared" si="5"/>
        <v>54</v>
      </c>
      <c r="I27" s="62">
        <f t="shared" si="5"/>
        <v>54</v>
      </c>
      <c r="J27" s="62">
        <f t="shared" si="5"/>
        <v>0</v>
      </c>
      <c r="K27" s="62">
        <f t="shared" si="5"/>
        <v>33</v>
      </c>
      <c r="L27" s="62">
        <f t="shared" si="5"/>
        <v>54</v>
      </c>
      <c r="M27" s="62">
        <f t="shared" si="5"/>
        <v>0</v>
      </c>
      <c r="N27" s="62">
        <f t="shared" si="5"/>
        <v>54</v>
      </c>
      <c r="O27" s="62">
        <f t="shared" si="5"/>
        <v>0</v>
      </c>
      <c r="P27" s="62">
        <f t="shared" si="5"/>
        <v>0</v>
      </c>
      <c r="Q27" s="62">
        <f t="shared" si="5"/>
        <v>0</v>
      </c>
      <c r="R27" s="62">
        <f t="shared" si="5"/>
        <v>0</v>
      </c>
    </row>
    <row r="28" spans="1:18" s="20" customFormat="1" ht="32" x14ac:dyDescent="0.2">
      <c r="A28" s="80" t="s">
        <v>31</v>
      </c>
      <c r="B28" s="61">
        <f t="shared" si="4"/>
        <v>0</v>
      </c>
      <c r="C28" s="61">
        <f t="shared" ref="C28:R29" si="6">C13+C17+C21+C25</f>
        <v>0</v>
      </c>
      <c r="D28" s="61">
        <f t="shared" si="6"/>
        <v>0</v>
      </c>
      <c r="E28" s="61">
        <f t="shared" si="6"/>
        <v>0</v>
      </c>
      <c r="F28" s="61">
        <f t="shared" si="6"/>
        <v>0</v>
      </c>
      <c r="G28" s="61">
        <f t="shared" si="6"/>
        <v>0</v>
      </c>
      <c r="H28" s="61">
        <f t="shared" si="6"/>
        <v>0</v>
      </c>
      <c r="I28" s="61">
        <f t="shared" si="6"/>
        <v>0</v>
      </c>
      <c r="J28" s="61">
        <f t="shared" si="6"/>
        <v>0</v>
      </c>
      <c r="K28" s="61">
        <f t="shared" si="6"/>
        <v>0</v>
      </c>
      <c r="L28" s="61">
        <f t="shared" si="6"/>
        <v>0</v>
      </c>
      <c r="M28" s="61">
        <f t="shared" si="6"/>
        <v>0</v>
      </c>
      <c r="N28" s="61">
        <f t="shared" si="6"/>
        <v>0</v>
      </c>
      <c r="O28" s="61">
        <f t="shared" si="6"/>
        <v>0</v>
      </c>
      <c r="P28" s="61">
        <f t="shared" si="6"/>
        <v>0</v>
      </c>
      <c r="Q28" s="61">
        <f t="shared" si="6"/>
        <v>0</v>
      </c>
      <c r="R28" s="61">
        <f t="shared" si="6"/>
        <v>0</v>
      </c>
    </row>
    <row r="29" spans="1:18" ht="30.75" customHeight="1" thickBot="1" x14ac:dyDescent="0.25">
      <c r="A29" s="81" t="s">
        <v>5</v>
      </c>
      <c r="B29" s="63">
        <f t="shared" si="4"/>
        <v>465</v>
      </c>
      <c r="C29" s="63">
        <f t="shared" si="6"/>
        <v>0</v>
      </c>
      <c r="D29" s="63">
        <f t="shared" si="6"/>
        <v>54</v>
      </c>
      <c r="E29" s="63">
        <f t="shared" si="6"/>
        <v>54</v>
      </c>
      <c r="F29" s="63">
        <f t="shared" si="6"/>
        <v>54</v>
      </c>
      <c r="G29" s="63">
        <f t="shared" si="6"/>
        <v>54</v>
      </c>
      <c r="H29" s="63">
        <f t="shared" si="6"/>
        <v>54</v>
      </c>
      <c r="I29" s="63">
        <f t="shared" si="6"/>
        <v>54</v>
      </c>
      <c r="J29" s="63">
        <f t="shared" si="6"/>
        <v>0</v>
      </c>
      <c r="K29" s="63">
        <f t="shared" si="6"/>
        <v>33</v>
      </c>
      <c r="L29" s="63">
        <f t="shared" si="6"/>
        <v>54</v>
      </c>
      <c r="M29" s="63">
        <f t="shared" si="6"/>
        <v>0</v>
      </c>
      <c r="N29" s="63">
        <f t="shared" si="6"/>
        <v>54</v>
      </c>
      <c r="O29" s="63">
        <f t="shared" si="6"/>
        <v>0</v>
      </c>
      <c r="P29" s="63">
        <f t="shared" si="6"/>
        <v>0</v>
      </c>
      <c r="Q29" s="63">
        <f t="shared" si="6"/>
        <v>0</v>
      </c>
      <c r="R29" s="63">
        <f t="shared" si="6"/>
        <v>0</v>
      </c>
    </row>
    <row r="30" spans="1:18" ht="58.5" customHeight="1" thickTop="1" thickBot="1" x14ac:dyDescent="0.25">
      <c r="A30" s="82" t="s">
        <v>32</v>
      </c>
      <c r="B30" s="83">
        <f>SUM(C30:R30)</f>
        <v>0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4"/>
    </row>
    <row r="31" spans="1:18" x14ac:dyDescent="0.2">
      <c r="A31" s="55" t="s">
        <v>30</v>
      </c>
      <c r="B31" s="56">
        <f t="shared" si="4"/>
        <v>0</v>
      </c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8"/>
    </row>
    <row r="32" spans="1:18" s="20" customFormat="1" x14ac:dyDescent="0.2">
      <c r="A32" s="73" t="s">
        <v>17</v>
      </c>
      <c r="B32" s="74">
        <f>SUM(C32:R32)</f>
        <v>0</v>
      </c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60"/>
    </row>
    <row r="33" spans="1:18" s="20" customFormat="1" ht="16" thickBot="1" x14ac:dyDescent="0.25">
      <c r="A33" s="75" t="s">
        <v>18</v>
      </c>
      <c r="B33" s="76">
        <f t="shared" si="4"/>
        <v>0</v>
      </c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2"/>
    </row>
  </sheetData>
  <sheetProtection selectLockedCells="1"/>
  <mergeCells count="16">
    <mergeCell ref="E7:F7"/>
    <mergeCell ref="I7:K7"/>
    <mergeCell ref="B1:L1"/>
    <mergeCell ref="B3:C3"/>
    <mergeCell ref="D3:F3"/>
    <mergeCell ref="H3:J3"/>
    <mergeCell ref="K3:R3"/>
    <mergeCell ref="B4:C4"/>
    <mergeCell ref="D4:F4"/>
    <mergeCell ref="H4:J4"/>
    <mergeCell ref="K4:M4"/>
    <mergeCell ref="H5:J5"/>
    <mergeCell ref="L5:M5"/>
    <mergeCell ref="O5:P5"/>
    <mergeCell ref="B6:C6"/>
    <mergeCell ref="E6:F6"/>
  </mergeCells>
  <pageMargins left="0.11811023622047245" right="0.11811023622047245" top="0.15748031496062992" bottom="0.15748031496062992" header="0.31496062992125984" footer="0.31496062992125984"/>
  <pageSetup paperSize="8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DSF1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Frederique Sardou</dc:creator>
  <cp:lastModifiedBy>Clément VAILLANT</cp:lastModifiedBy>
  <cp:lastPrinted>2026-02-24T11:51:40Z</cp:lastPrinted>
  <dcterms:created xsi:type="dcterms:W3CDTF">2021-05-07T08:01:09Z</dcterms:created>
  <dcterms:modified xsi:type="dcterms:W3CDTF">2026-07-17T10:27:36Z</dcterms:modified>
</cp:coreProperties>
</file>