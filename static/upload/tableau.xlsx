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clementvaillant/Desktop/"/>
    </mc:Choice>
  </mc:AlternateContent>
  <xr:revisionPtr revIDLastSave="0" documentId="8_{8843237D-41EA-A74F-A938-F79A4B2D62DA}" xr6:coauthVersionLast="47" xr6:coauthVersionMax="47" xr10:uidLastSave="{00000000-0000-0000-0000-000000000000}"/>
  <bookViews>
    <workbookView xWindow="0" yWindow="660" windowWidth="30240" windowHeight="17660" activeTab="1" xr2:uid="{00000000-000D-0000-FFFF-FFFF00000000}"/>
  </bookViews>
  <sheets>
    <sheet name="2024 Exemple pour mode emploi" sheetId="1" r:id="rId1"/>
    <sheet name="0104 au 0304" sheetId="2" r:id="rId2"/>
    <sheet name="0604 au 1004" sheetId="16" r:id="rId3"/>
    <sheet name="1304 au 1704" sheetId="17" r:id="rId4"/>
    <sheet name="2004 au 2404" sheetId="18" r:id="rId5"/>
    <sheet name="1805 au 2205" sheetId="19" r:id="rId6"/>
    <sheet name="2505 au 2905" sheetId="20" r:id="rId7"/>
    <sheet name="0106 au 0506" sheetId="21" r:id="rId8"/>
    <sheet name="0806 au 1206" sheetId="22" r:id="rId9"/>
    <sheet name="1506 au 1906" sheetId="23" r:id="rId10"/>
    <sheet name="2206 au 2606" sheetId="2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2" l="1"/>
  <c r="G39" i="2"/>
  <c r="M39" i="2"/>
  <c r="H39" i="24"/>
  <c r="G39" i="24"/>
  <c r="D39" i="24"/>
  <c r="C39" i="24"/>
  <c r="M14" i="23"/>
  <c r="H39" i="23"/>
  <c r="G39" i="23"/>
  <c r="D39" i="23"/>
  <c r="C39" i="23"/>
  <c r="H39" i="22"/>
  <c r="G39" i="22"/>
  <c r="D39" i="22"/>
  <c r="C39" i="22"/>
  <c r="H39" i="21"/>
  <c r="G39" i="21"/>
  <c r="D39" i="21"/>
  <c r="C39" i="21"/>
  <c r="M14" i="21"/>
  <c r="M14" i="19"/>
  <c r="H39" i="20"/>
  <c r="G39" i="20"/>
  <c r="H39" i="19"/>
  <c r="G39" i="19"/>
  <c r="M14" i="18"/>
  <c r="D39" i="18"/>
  <c r="C39" i="18"/>
  <c r="H39" i="18"/>
  <c r="G39" i="18"/>
  <c r="G39" i="17"/>
  <c r="F39" i="17"/>
  <c r="E39" i="17"/>
  <c r="D39" i="17"/>
  <c r="C39" i="17"/>
  <c r="M16" i="17"/>
  <c r="M14" i="17"/>
  <c r="H39" i="17"/>
  <c r="M16" i="16"/>
  <c r="F39" i="16"/>
  <c r="E39" i="16"/>
  <c r="N45" i="1"/>
  <c r="M45" i="1"/>
</calcChain>
</file>

<file path=xl/sharedStrings.xml><?xml version="1.0" encoding="utf-8"?>
<sst xmlns="http://schemas.openxmlformats.org/spreadsheetml/2006/main" count="947" uniqueCount="148">
  <si>
    <t>FEUILLE DE PRESENCE - Marchés AFC 2024 France Travail</t>
  </si>
  <si>
    <t xml:space="preserve">N° marché AFC 2024: </t>
  </si>
  <si>
    <t>X</t>
  </si>
  <si>
    <t xml:space="preserve">N° BRS : </t>
  </si>
  <si>
    <t>XXXX</t>
  </si>
  <si>
    <t xml:space="preserve">N° convention : </t>
  </si>
  <si>
    <t>XXX</t>
  </si>
  <si>
    <t>N° Bon de commande</t>
  </si>
  <si>
    <t>Informations propres à l'OF</t>
  </si>
  <si>
    <t xml:space="preserve">Intitulé de la formation : </t>
  </si>
  <si>
    <t>AAA</t>
  </si>
  <si>
    <t>Type de session  :</t>
  </si>
  <si>
    <t>ESF</t>
  </si>
  <si>
    <t xml:space="preserve">Durée hebdomadaire : </t>
  </si>
  <si>
    <t>30h</t>
  </si>
  <si>
    <t xml:space="preserve">Dates de session : </t>
  </si>
  <si>
    <t xml:space="preserve">Nombre de stagiaires inscrits : </t>
  </si>
  <si>
    <t>Stagiaires</t>
  </si>
  <si>
    <t>N°ID</t>
  </si>
  <si>
    <r>
      <rPr>
        <sz val="10"/>
        <color indexed="64"/>
        <rFont val="Calibri"/>
        <family val="2"/>
        <scheme val="minor"/>
      </rPr>
      <t xml:space="preserve">Lun. </t>
    </r>
    <r>
      <rPr>
        <i/>
        <sz val="10"/>
        <color indexed="64"/>
        <rFont val="Calibri"/>
        <family val="2"/>
        <scheme val="minor"/>
      </rPr>
      <t>date</t>
    </r>
  </si>
  <si>
    <r>
      <t xml:space="preserve">Mardi     </t>
    </r>
    <r>
      <rPr>
        <i/>
        <sz val="10"/>
        <color theme="1"/>
        <rFont val="Calibri"/>
        <family val="2"/>
        <scheme val="minor"/>
      </rPr>
      <t>date</t>
    </r>
  </si>
  <si>
    <r>
      <t xml:space="preserve">Mercredi </t>
    </r>
    <r>
      <rPr>
        <i/>
        <sz val="10"/>
        <color theme="1"/>
        <rFont val="Calibri"/>
        <family val="2"/>
        <scheme val="minor"/>
      </rPr>
      <t>date</t>
    </r>
  </si>
  <si>
    <r>
      <t xml:space="preserve">Jeudi </t>
    </r>
    <r>
      <rPr>
        <i/>
        <sz val="10"/>
        <color theme="1"/>
        <rFont val="Calibri"/>
        <family val="2"/>
        <scheme val="minor"/>
      </rPr>
      <t>date</t>
    </r>
  </si>
  <si>
    <r>
      <t xml:space="preserve">Vendredi </t>
    </r>
    <r>
      <rPr>
        <i/>
        <sz val="10"/>
        <color theme="1"/>
        <rFont val="Calibri"/>
        <family val="2"/>
        <scheme val="minor"/>
      </rPr>
      <t>date</t>
    </r>
  </si>
  <si>
    <t xml:space="preserve">Total heures présence hebdo </t>
  </si>
  <si>
    <t>9h-12h</t>
  </si>
  <si>
    <t>13h30-16h30</t>
  </si>
  <si>
    <t>Séquence *</t>
  </si>
  <si>
    <t>RAN</t>
  </si>
  <si>
    <t>FT</t>
  </si>
  <si>
    <t>PAF</t>
  </si>
  <si>
    <r>
      <t xml:space="preserve">1 </t>
    </r>
    <r>
      <rPr>
        <b/>
        <sz val="10"/>
        <color indexed="64"/>
        <rFont val="Calibri"/>
        <family val="2"/>
        <scheme val="minor"/>
      </rPr>
      <t>Frédéric A.</t>
    </r>
  </si>
  <si>
    <t>0000000T</t>
  </si>
  <si>
    <t>émargement</t>
  </si>
  <si>
    <t>DIS***</t>
  </si>
  <si>
    <t>Soutien personnalisé</t>
  </si>
  <si>
    <t>1h</t>
  </si>
  <si>
    <t>Période de mise en pratique en  Entreprise</t>
  </si>
  <si>
    <t>2 Maud V.</t>
  </si>
  <si>
    <t>1111111B</t>
  </si>
  <si>
    <t>-</t>
  </si>
  <si>
    <t>AF**</t>
  </si>
  <si>
    <r>
      <t>1 h =</t>
    </r>
    <r>
      <rPr>
        <sz val="11"/>
        <color rgb="FF00B050"/>
        <rFont val="Calibri"/>
        <family val="2"/>
        <scheme val="minor"/>
      </rPr>
      <t>**AF</t>
    </r>
  </si>
  <si>
    <t>3 Florence C.</t>
  </si>
  <si>
    <t>ANF**</t>
  </si>
  <si>
    <t>Total des heures facturables</t>
  </si>
  <si>
    <t>contrôle</t>
  </si>
  <si>
    <t>Total des heures non facturables</t>
  </si>
  <si>
    <t>NOM FORMATEUR</t>
  </si>
  <si>
    <t>Nicolas T.</t>
  </si>
  <si>
    <t>Emargement</t>
  </si>
  <si>
    <t>Julie F.</t>
  </si>
  <si>
    <t>N° BRS : 1</t>
  </si>
  <si>
    <t>INTEGRALE SECURITE FORMATIONS</t>
  </si>
  <si>
    <t>54 chemin du Carreou</t>
  </si>
  <si>
    <t>83480 PUGET SUR ARGENS</t>
  </si>
  <si>
    <t>SIRET 840 899 884 00026</t>
  </si>
  <si>
    <t>Durée hebdomadaire : 30 heures</t>
  </si>
  <si>
    <t>Intitulé de la formation : Agent de prévention et de sécurité (APS) + SSIAP 1</t>
  </si>
  <si>
    <t>Type de session  : ESF</t>
  </si>
  <si>
    <t>N° marché AFC 2024 : 51190</t>
  </si>
  <si>
    <t>08h30-12h30</t>
  </si>
  <si>
    <t>SP</t>
  </si>
  <si>
    <t>1 LAM ALAM Moustapha</t>
  </si>
  <si>
    <t>6185389Z</t>
  </si>
  <si>
    <t>5734054T</t>
  </si>
  <si>
    <t>2  CHABAUD David</t>
  </si>
  <si>
    <t>3  CHERIF Amel</t>
  </si>
  <si>
    <t>4 DUBREUIL Jade</t>
  </si>
  <si>
    <t>6164850Z</t>
  </si>
  <si>
    <t>5 TAYFER Marc</t>
  </si>
  <si>
    <t>6 GALLIER David</t>
  </si>
  <si>
    <t>5824688H</t>
  </si>
  <si>
    <t>7 LARDJANE Zinedine</t>
  </si>
  <si>
    <t>6109362L</t>
  </si>
  <si>
    <t>8 NANKAM MONE VONDO Gervais</t>
  </si>
  <si>
    <t>5835017K</t>
  </si>
  <si>
    <t>9 OUFQIH Yannis</t>
  </si>
  <si>
    <t>5895870E</t>
  </si>
  <si>
    <t>10 RUELLE Alex</t>
  </si>
  <si>
    <t>5980401L</t>
  </si>
  <si>
    <t>11 SCHOSSELER Gabin</t>
  </si>
  <si>
    <t>5756804W</t>
  </si>
  <si>
    <t>6074026C</t>
  </si>
  <si>
    <t>Nombre de stagiaires inscrits : 12</t>
  </si>
  <si>
    <t>5734452A</t>
  </si>
  <si>
    <t xml:space="preserve"> 5479898L</t>
  </si>
  <si>
    <t>01/04/2026 au 26/06/2026</t>
  </si>
  <si>
    <t>Mercredi 01/04</t>
  </si>
  <si>
    <t>Jeudi 02/04</t>
  </si>
  <si>
    <t>Vendredi 03/04</t>
  </si>
  <si>
    <t>Mardi 07/04</t>
  </si>
  <si>
    <t>Mercredi 08/04</t>
  </si>
  <si>
    <t>Jeudi 09/04</t>
  </si>
  <si>
    <t>Vendredi 10/04</t>
  </si>
  <si>
    <t>Mercredi 15/04</t>
  </si>
  <si>
    <t>Jeudi 16/04</t>
  </si>
  <si>
    <t>Vendredi 17/04</t>
  </si>
  <si>
    <t>Mercredi 22/04</t>
  </si>
  <si>
    <t>Jeudi 23/04</t>
  </si>
  <si>
    <t>Vendredi 24/04</t>
  </si>
  <si>
    <t>Mercredi 20/05</t>
  </si>
  <si>
    <t>Jeudi 21/05</t>
  </si>
  <si>
    <t>Vendredi 22/05</t>
  </si>
  <si>
    <t>Mercredi 27/05</t>
  </si>
  <si>
    <t>N° convention : 41C32B061177</t>
  </si>
  <si>
    <t>Mardi 26/05</t>
  </si>
  <si>
    <t>Mercredi 03/06</t>
  </si>
  <si>
    <t>Jeudi 04/06</t>
  </si>
  <si>
    <t>Vendredi 05/06</t>
  </si>
  <si>
    <t>Mercredi 10/06</t>
  </si>
  <si>
    <t>Jeudi 11/06</t>
  </si>
  <si>
    <t>Vendredi 12/06</t>
  </si>
  <si>
    <t>Mercredi 17/06</t>
  </si>
  <si>
    <t>Jeudi 18/06</t>
  </si>
  <si>
    <t>Vendredi 19/06</t>
  </si>
  <si>
    <t>Mercredi 24/06</t>
  </si>
  <si>
    <t>Jeudi 25/06</t>
  </si>
  <si>
    <t>Vendredi 26/06</t>
  </si>
  <si>
    <t>12 SCHAIEB Mohamed</t>
  </si>
  <si>
    <t>Lundi 30/03</t>
  </si>
  <si>
    <t>Mardi 31/03</t>
  </si>
  <si>
    <t>Lundi 06/04</t>
  </si>
  <si>
    <t>Lundi 13/04</t>
  </si>
  <si>
    <t>Mardi 14/04</t>
  </si>
  <si>
    <t>Formateur El-Hani MORATI</t>
  </si>
  <si>
    <t>13h30-14h30</t>
  </si>
  <si>
    <t>08h30-12h00</t>
  </si>
  <si>
    <t>13h00-17h00</t>
  </si>
  <si>
    <t>FT + 2h SP</t>
  </si>
  <si>
    <t>Lundi 20/04</t>
  </si>
  <si>
    <t>Mardi 21/04</t>
  </si>
  <si>
    <t>Lundi 18/05</t>
  </si>
  <si>
    <t>Mardi 19/05</t>
  </si>
  <si>
    <t>Lundi 25/05</t>
  </si>
  <si>
    <t>mm</t>
  </si>
  <si>
    <t>Lundi 01/06</t>
  </si>
  <si>
    <t>Mardi 02/06</t>
  </si>
  <si>
    <t>Lundi 08/06</t>
  </si>
  <si>
    <t>Mardi 09/06</t>
  </si>
  <si>
    <t>FT + 2h PAF</t>
  </si>
  <si>
    <t>Lundi 15/06</t>
  </si>
  <si>
    <t>Mardi 16/06</t>
  </si>
  <si>
    <t>Lundi 22/06</t>
  </si>
  <si>
    <t>Mardi 23/06</t>
  </si>
  <si>
    <t>PAF + 2h SP</t>
  </si>
  <si>
    <t>Formateur A. ISSAOUI</t>
  </si>
  <si>
    <t>Formateur C. NJIFONGOU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</si>
</sst>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64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indexed="64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indexed="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2"/>
      <name val="Calibri"/>
      <family val="2"/>
      <scheme val="minor"/>
    </font>
    <font>
      <b/>
      <sz val="9"/>
      <color indexed="64"/>
      <name val="Calibri"/>
      <family val="2"/>
      <scheme val="minor"/>
    </font>
    <font>
      <i/>
      <sz val="10"/>
      <color indexed="64"/>
      <name val="Calibri"/>
      <family val="2"/>
      <scheme val="minor"/>
    </font>
    <font>
      <b/>
      <sz val="10"/>
      <color indexed="64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rgb="FFDEEAF6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30">
    <border>
      <left/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4" fillId="0" borderId="0" xfId="0" applyFont="1"/>
    <xf numFmtId="0" fontId="0" fillId="0" borderId="1" xfId="0" applyBorder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0" fillId="0" borderId="2" xfId="0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7" fillId="2" borderId="2" xfId="0" applyFont="1" applyFill="1" applyBorder="1" applyAlignment="1">
      <alignment horizontal="right" vertical="center" wrapText="1"/>
    </xf>
    <xf numFmtId="0" fontId="0" fillId="2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1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12" fillId="4" borderId="2" xfId="0" applyFont="1" applyFill="1" applyBorder="1" applyAlignment="1">
      <alignment vertical="center" wrapText="1"/>
    </xf>
    <xf numFmtId="0" fontId="13" fillId="3" borderId="2" xfId="0" applyFont="1" applyFill="1" applyBorder="1" applyAlignment="1">
      <alignment vertical="center" wrapText="1"/>
    </xf>
    <xf numFmtId="0" fontId="12" fillId="0" borderId="2" xfId="0" applyFont="1" applyBorder="1" applyAlignment="1">
      <alignment horizontal="right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15" fillId="3" borderId="5" xfId="0" applyFont="1" applyFill="1" applyBorder="1" applyAlignment="1">
      <alignment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vertical="center" wrapText="1"/>
    </xf>
    <xf numFmtId="0" fontId="12" fillId="3" borderId="2" xfId="0" applyFont="1" applyFill="1" applyBorder="1" applyAlignment="1">
      <alignment vertical="center" wrapText="1"/>
    </xf>
    <xf numFmtId="0" fontId="12" fillId="4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vertical="top" wrapText="1"/>
    </xf>
    <xf numFmtId="0" fontId="17" fillId="0" borderId="2" xfId="0" applyFont="1" applyBorder="1" applyAlignment="1">
      <alignment horizontal="right" vertical="center" wrapText="1"/>
    </xf>
    <xf numFmtId="0" fontId="18" fillId="0" borderId="2" xfId="0" applyFont="1" applyBorder="1" applyAlignment="1">
      <alignment horizontal="right" vertical="center" wrapText="1"/>
    </xf>
    <xf numFmtId="0" fontId="19" fillId="0" borderId="2" xfId="0" applyFont="1" applyBorder="1" applyAlignment="1">
      <alignment horizontal="right" vertical="center" wrapText="1"/>
    </xf>
    <xf numFmtId="0" fontId="17" fillId="0" borderId="0" xfId="0" applyFont="1" applyAlignment="1">
      <alignment horizontal="right" vertical="center" wrapText="1"/>
    </xf>
    <xf numFmtId="0" fontId="7" fillId="2" borderId="3" xfId="0" applyFont="1" applyFill="1" applyBorder="1" applyAlignment="1">
      <alignment horizontal="right" vertical="center" wrapText="1"/>
    </xf>
    <xf numFmtId="0" fontId="0" fillId="2" borderId="3" xfId="0" applyFill="1" applyBorder="1" applyAlignment="1">
      <alignment vertical="center" wrapText="1"/>
    </xf>
    <xf numFmtId="0" fontId="12" fillId="0" borderId="9" xfId="0" applyFont="1" applyBorder="1" applyAlignment="1">
      <alignment horizontal="right" vertical="center" wrapText="1"/>
    </xf>
    <xf numFmtId="0" fontId="12" fillId="0" borderId="11" xfId="0" applyFont="1" applyBorder="1" applyAlignment="1">
      <alignment horizontal="right" vertical="center" wrapText="1"/>
    </xf>
    <xf numFmtId="0" fontId="17" fillId="0" borderId="14" xfId="0" applyFont="1" applyBorder="1" applyAlignment="1">
      <alignment horizontal="right" vertical="center" wrapText="1"/>
    </xf>
    <xf numFmtId="0" fontId="24" fillId="0" borderId="0" xfId="0" applyFont="1"/>
    <xf numFmtId="0" fontId="3" fillId="0" borderId="0" xfId="0" applyFont="1"/>
    <xf numFmtId="0" fontId="3" fillId="2" borderId="3" xfId="0" applyFont="1" applyFill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5" borderId="7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2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9" fillId="6" borderId="2" xfId="0" applyFont="1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0" fillId="6" borderId="8" xfId="0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10" xfId="0" applyFill="1" applyBorder="1" applyAlignment="1">
      <alignment vertical="center" wrapText="1"/>
    </xf>
    <xf numFmtId="0" fontId="0" fillId="6" borderId="12" xfId="0" applyFill="1" applyBorder="1" applyAlignment="1">
      <alignment vertical="center" wrapText="1"/>
    </xf>
    <xf numFmtId="0" fontId="0" fillId="6" borderId="15" xfId="0" applyFill="1" applyBorder="1" applyAlignment="1">
      <alignment vertical="center" wrapText="1"/>
    </xf>
    <xf numFmtId="0" fontId="0" fillId="6" borderId="13" xfId="0" applyFill="1" applyBorder="1" applyAlignment="1">
      <alignment vertical="center" wrapText="1"/>
    </xf>
    <xf numFmtId="0" fontId="0" fillId="6" borderId="12" xfId="0" applyFill="1" applyBorder="1" applyAlignment="1">
      <alignment vertical="top" wrapText="1"/>
    </xf>
    <xf numFmtId="0" fontId="9" fillId="5" borderId="2" xfId="0" applyFont="1" applyFill="1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0" fillId="5" borderId="10" xfId="0" applyFill="1" applyBorder="1" applyAlignment="1">
      <alignment vertical="center" wrapText="1"/>
    </xf>
    <xf numFmtId="0" fontId="0" fillId="5" borderId="15" xfId="0" applyFill="1" applyBorder="1" applyAlignment="1">
      <alignment vertical="center" wrapText="1"/>
    </xf>
    <xf numFmtId="0" fontId="0" fillId="5" borderId="13" xfId="0" applyFill="1" applyBorder="1" applyAlignment="1">
      <alignment vertical="center" wrapText="1"/>
    </xf>
    <xf numFmtId="0" fontId="0" fillId="5" borderId="12" xfId="0" applyFill="1" applyBorder="1" applyAlignment="1">
      <alignment vertical="top" wrapText="1"/>
    </xf>
    <xf numFmtId="0" fontId="2" fillId="4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0" borderId="0" xfId="0" applyFont="1"/>
    <xf numFmtId="0" fontId="12" fillId="0" borderId="18" xfId="0" applyFont="1" applyBorder="1" applyAlignment="1">
      <alignment horizontal="right" vertical="center" wrapText="1"/>
    </xf>
    <xf numFmtId="0" fontId="12" fillId="0" borderId="19" xfId="0" applyFont="1" applyBorder="1" applyAlignment="1">
      <alignment horizontal="right" vertical="center" wrapText="1"/>
    </xf>
    <xf numFmtId="0" fontId="0" fillId="0" borderId="20" xfId="0" applyBorder="1" applyAlignment="1">
      <alignment vertical="center" wrapText="1"/>
    </xf>
    <xf numFmtId="0" fontId="0" fillId="0" borderId="20" xfId="0" applyBorder="1" applyAlignment="1">
      <alignment vertical="top" wrapText="1"/>
    </xf>
    <xf numFmtId="0" fontId="12" fillId="5" borderId="21" xfId="0" applyFont="1" applyFill="1" applyBorder="1" applyAlignment="1">
      <alignment vertical="center" wrapText="1"/>
    </xf>
    <xf numFmtId="0" fontId="20" fillId="0" borderId="22" xfId="0" applyFont="1" applyBorder="1" applyAlignment="1">
      <alignment horizontal="right" vertical="center" wrapText="1"/>
    </xf>
    <xf numFmtId="0" fontId="17" fillId="0" borderId="23" xfId="0" applyFont="1" applyBorder="1" applyAlignment="1">
      <alignment horizontal="right" vertical="center" wrapText="1"/>
    </xf>
    <xf numFmtId="0" fontId="18" fillId="0" borderId="24" xfId="0" applyFont="1" applyBorder="1" applyAlignment="1">
      <alignment horizontal="right" vertical="center" wrapText="1"/>
    </xf>
    <xf numFmtId="0" fontId="0" fillId="3" borderId="3" xfId="0" applyFill="1" applyBorder="1" applyAlignment="1">
      <alignment vertical="center" wrapText="1"/>
    </xf>
    <xf numFmtId="0" fontId="25" fillId="3" borderId="25" xfId="0" applyFont="1" applyFill="1" applyBorder="1" applyAlignment="1">
      <alignment vertical="center" wrapText="1"/>
    </xf>
    <xf numFmtId="0" fontId="25" fillId="3" borderId="26" xfId="0" applyFont="1" applyFill="1" applyBorder="1" applyAlignment="1">
      <alignment vertical="center" wrapText="1"/>
    </xf>
    <xf numFmtId="0" fontId="12" fillId="3" borderId="26" xfId="0" applyFont="1" applyFill="1" applyBorder="1" applyAlignment="1">
      <alignment vertical="center" wrapText="1"/>
    </xf>
    <xf numFmtId="0" fontId="12" fillId="3" borderId="27" xfId="0" applyFont="1" applyFill="1" applyBorder="1" applyAlignment="1">
      <alignment vertical="center" wrapText="1"/>
    </xf>
    <xf numFmtId="0" fontId="0" fillId="5" borderId="3" xfId="0" applyFill="1" applyBorder="1" applyAlignment="1">
      <alignment vertical="top" wrapText="1"/>
    </xf>
    <xf numFmtId="0" fontId="1" fillId="4" borderId="6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center" wrapText="1"/>
    </xf>
    <xf numFmtId="0" fontId="0" fillId="6" borderId="20" xfId="0" applyFill="1" applyBorder="1" applyAlignment="1">
      <alignment vertical="center" wrapText="1"/>
    </xf>
    <xf numFmtId="0" fontId="17" fillId="6" borderId="23" xfId="0" applyFont="1" applyFill="1" applyBorder="1" applyAlignment="1">
      <alignment horizontal="right" vertical="center" wrapText="1"/>
    </xf>
    <xf numFmtId="0" fontId="7" fillId="0" borderId="28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14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184150</xdr:rowOff>
    </xdr:from>
    <xdr:to>
      <xdr:col>12</xdr:col>
      <xdr:colOff>259079</xdr:colOff>
      <xdr:row>54</xdr:row>
      <xdr:rowOff>165100</xdr:rowOff>
    </xdr:to>
    <xdr:sp macro="" textlink="">
      <xdr:nvSpPr>
        <xdr:cNvPr id="2" name="Rectangle à coins arrondis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0" y="5851525"/>
          <a:ext cx="9784079" cy="552450"/>
        </a:xfrm>
        <a:prstGeom prst="roundRect">
          <a:avLst>
            <a:gd name="adj" fmla="val 16667"/>
          </a:avLst>
        </a:prstGeom>
        <a:solidFill>
          <a:srgbClr val="F2F2F2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>
            <a:defRPr sz="1000"/>
          </a:pPr>
          <a:r>
            <a:rPr lang="fr-FR" sz="900" b="0" i="1" u="none" strike="noStrike">
              <a:solidFill>
                <a:srgbClr val="000000"/>
              </a:solidFill>
              <a:latin typeface="Calibri"/>
              <a:cs typeface="Calibri"/>
            </a:rPr>
            <a:t>*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Code séquences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FT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Formation technique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RAN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Remise à niveau :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E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Période de mise en pratique en entreprise 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S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Soutien personnalisé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PAF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Préparation à l'après-formation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**Codes absences : 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ANF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non facturables 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facturables  </a:t>
          </a:r>
          <a:endParaRPr/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***Code pour la partie de formation délivrée  à distance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DIS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1200"/>
            </a:lnSpc>
            <a:defRPr sz="1000"/>
          </a:pPr>
          <a:r>
            <a:rPr lang="fr-FR" sz="1100" b="0" i="0" u="none" strike="noStrike">
              <a:solidFill>
                <a:srgbClr val="000000"/>
              </a:solidFill>
              <a:latin typeface="Calibri"/>
              <a:cs typeface="Calibri"/>
            </a:rPr>
            <a:t> 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234462</xdr:colOff>
      <xdr:row>49</xdr:row>
      <xdr:rowOff>52265</xdr:rowOff>
    </xdr:from>
    <xdr:to>
      <xdr:col>12</xdr:col>
      <xdr:colOff>493541</xdr:colOff>
      <xdr:row>52</xdr:row>
      <xdr:rowOff>33215</xdr:rowOff>
    </xdr:to>
    <xdr:sp macro="" textlink="">
      <xdr:nvSpPr>
        <xdr:cNvPr id="6" name="Rectangle à coins arrondis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234462" y="10002227"/>
          <a:ext cx="10128444" cy="552450"/>
        </a:xfrm>
        <a:prstGeom prst="roundRect">
          <a:avLst>
            <a:gd name="adj" fmla="val 16667"/>
          </a:avLst>
        </a:prstGeom>
        <a:solidFill>
          <a:srgbClr val="F2F2F2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>
            <a:defRPr sz="1000"/>
          </a:pPr>
          <a:r>
            <a:rPr lang="fr-FR" sz="900" b="0" i="1" u="none" strike="noStrike">
              <a:solidFill>
                <a:srgbClr val="000000"/>
              </a:solidFill>
              <a:latin typeface="Calibri"/>
              <a:cs typeface="Calibri"/>
            </a:rPr>
            <a:t>*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Code séquences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FT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Formation technique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RAN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Remise à niveau :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E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Période de mise en pratique en entreprise 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S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Soutien personnalisé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PAF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Préparation à l'après-formation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**Codes absences : 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ANF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non facturables 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facturables  </a:t>
          </a:r>
          <a:endParaRPr/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***Code pour la partie de formation délivrée  à distance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DIS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1200"/>
            </a:lnSpc>
            <a:defRPr sz="1000"/>
          </a:pPr>
          <a:r>
            <a:rPr lang="fr-FR" sz="1100" b="0" i="0" u="none" strike="noStrike">
              <a:solidFill>
                <a:srgbClr val="000000"/>
              </a:solidFill>
              <a:latin typeface="Calibri"/>
              <a:cs typeface="Calibri"/>
            </a:rPr>
            <a:t> 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234462</xdr:colOff>
      <xdr:row>50</xdr:row>
      <xdr:rowOff>52265</xdr:rowOff>
    </xdr:from>
    <xdr:to>
      <xdr:col>12</xdr:col>
      <xdr:colOff>493541</xdr:colOff>
      <xdr:row>53</xdr:row>
      <xdr:rowOff>33215</xdr:rowOff>
    </xdr:to>
    <xdr:sp macro="" textlink="">
      <xdr:nvSpPr>
        <xdr:cNvPr id="2" name="Rectangle à coins arrondis 2">
          <a:extLst>
            <a:ext uri="{FF2B5EF4-FFF2-40B4-BE49-F238E27FC236}">
              <a16:creationId xmlns:a16="http://schemas.microsoft.com/office/drawing/2014/main" id="{57C035DB-C814-4953-9263-D3EC2E6696D1}"/>
            </a:ext>
          </a:extLst>
        </xdr:cNvPr>
        <xdr:cNvSpPr>
          <a:spLocks noChangeArrowheads="1"/>
        </xdr:cNvSpPr>
      </xdr:nvSpPr>
      <xdr:spPr bwMode="auto">
        <a:xfrm>
          <a:off x="239224" y="10534527"/>
          <a:ext cx="10788967" cy="523875"/>
        </a:xfrm>
        <a:prstGeom prst="roundRect">
          <a:avLst>
            <a:gd name="adj" fmla="val 16667"/>
          </a:avLst>
        </a:prstGeom>
        <a:solidFill>
          <a:srgbClr val="F2F2F2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>
            <a:defRPr sz="1000"/>
          </a:pPr>
          <a:r>
            <a:rPr lang="fr-FR" sz="900" b="0" i="1" u="none" strike="noStrike">
              <a:solidFill>
                <a:srgbClr val="000000"/>
              </a:solidFill>
              <a:latin typeface="Calibri"/>
              <a:cs typeface="Calibri"/>
            </a:rPr>
            <a:t>*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Code séquences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FT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Formation technique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RAN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Remise à niveau :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E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Période de mise en pratique en entreprise 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S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Soutien personnalisé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PAF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Préparation à l'après-formation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**Codes absences : 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ANF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non facturables 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facturables  </a:t>
          </a:r>
          <a:endParaRPr/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***Code pour la partie de formation délivrée  à distance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DIS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1200"/>
            </a:lnSpc>
            <a:defRPr sz="1000"/>
          </a:pPr>
          <a:r>
            <a:rPr lang="fr-FR" sz="1100" b="0" i="0" u="none" strike="noStrike">
              <a:solidFill>
                <a:srgbClr val="000000"/>
              </a:solidFill>
              <a:latin typeface="Calibri"/>
              <a:cs typeface="Calibri"/>
            </a:rPr>
            <a:t> 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234462</xdr:colOff>
      <xdr:row>50</xdr:row>
      <xdr:rowOff>52265</xdr:rowOff>
    </xdr:from>
    <xdr:to>
      <xdr:col>12</xdr:col>
      <xdr:colOff>493541</xdr:colOff>
      <xdr:row>53</xdr:row>
      <xdr:rowOff>33215</xdr:rowOff>
    </xdr:to>
    <xdr:sp macro="" textlink="">
      <xdr:nvSpPr>
        <xdr:cNvPr id="2" name="Rectangle à coins arrondis 2">
          <a:extLst>
            <a:ext uri="{FF2B5EF4-FFF2-40B4-BE49-F238E27FC236}">
              <a16:creationId xmlns:a16="http://schemas.microsoft.com/office/drawing/2014/main" id="{2EAE2CDE-6DE7-4042-9E06-24F4435F12C3}"/>
            </a:ext>
          </a:extLst>
        </xdr:cNvPr>
        <xdr:cNvSpPr>
          <a:spLocks noChangeArrowheads="1"/>
        </xdr:cNvSpPr>
      </xdr:nvSpPr>
      <xdr:spPr bwMode="auto">
        <a:xfrm>
          <a:off x="239224" y="10534527"/>
          <a:ext cx="10788967" cy="523875"/>
        </a:xfrm>
        <a:prstGeom prst="roundRect">
          <a:avLst>
            <a:gd name="adj" fmla="val 16667"/>
          </a:avLst>
        </a:prstGeom>
        <a:solidFill>
          <a:srgbClr val="F2F2F2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>
            <a:defRPr sz="1000"/>
          </a:pPr>
          <a:r>
            <a:rPr lang="fr-FR" sz="900" b="0" i="1" u="none" strike="noStrike">
              <a:solidFill>
                <a:srgbClr val="000000"/>
              </a:solidFill>
              <a:latin typeface="Calibri"/>
              <a:cs typeface="Calibri"/>
            </a:rPr>
            <a:t>*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Code séquences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FT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Formation technique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RAN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Remise à niveau :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E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Période de mise en pratique en entreprise 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S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Soutien personnalisé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PAF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Préparation à l'après-formation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**Codes absences : 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ANF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non facturables 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facturables  </a:t>
          </a:r>
          <a:endParaRPr/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***Code pour la partie de formation délivrée  à distance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DIS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1200"/>
            </a:lnSpc>
            <a:defRPr sz="1000"/>
          </a:pPr>
          <a:r>
            <a:rPr lang="fr-FR" sz="1100" b="0" i="0" u="none" strike="noStrike">
              <a:solidFill>
                <a:srgbClr val="000000"/>
              </a:solidFill>
              <a:latin typeface="Calibri"/>
              <a:cs typeface="Calibri"/>
            </a:rPr>
            <a:t> 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234462</xdr:colOff>
      <xdr:row>50</xdr:row>
      <xdr:rowOff>52265</xdr:rowOff>
    </xdr:from>
    <xdr:to>
      <xdr:col>12</xdr:col>
      <xdr:colOff>493541</xdr:colOff>
      <xdr:row>53</xdr:row>
      <xdr:rowOff>33215</xdr:rowOff>
    </xdr:to>
    <xdr:sp macro="" textlink="">
      <xdr:nvSpPr>
        <xdr:cNvPr id="2" name="Rectangle à coins arrondis 2">
          <a:extLst>
            <a:ext uri="{FF2B5EF4-FFF2-40B4-BE49-F238E27FC236}">
              <a16:creationId xmlns:a16="http://schemas.microsoft.com/office/drawing/2014/main" id="{F18B1ED5-61F3-4F07-AA82-E394B6D5F43B}"/>
            </a:ext>
          </a:extLst>
        </xdr:cNvPr>
        <xdr:cNvSpPr>
          <a:spLocks noChangeArrowheads="1"/>
        </xdr:cNvSpPr>
      </xdr:nvSpPr>
      <xdr:spPr bwMode="auto">
        <a:xfrm>
          <a:off x="239224" y="10534527"/>
          <a:ext cx="10788967" cy="523875"/>
        </a:xfrm>
        <a:prstGeom prst="roundRect">
          <a:avLst>
            <a:gd name="adj" fmla="val 16667"/>
          </a:avLst>
        </a:prstGeom>
        <a:solidFill>
          <a:srgbClr val="F2F2F2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>
            <a:defRPr sz="1000"/>
          </a:pPr>
          <a:r>
            <a:rPr lang="fr-FR" sz="900" b="0" i="1" u="none" strike="noStrike">
              <a:solidFill>
                <a:srgbClr val="000000"/>
              </a:solidFill>
              <a:latin typeface="Calibri"/>
              <a:cs typeface="Calibri"/>
            </a:rPr>
            <a:t>*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Code séquences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FT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Formation technique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RAN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Remise à niveau :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E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Période de mise en pratique en entreprise 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S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Soutien personnalisé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PAF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Préparation à l'après-formation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**Codes absences : 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ANF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non facturables 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facturables  </a:t>
          </a:r>
          <a:endParaRPr/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***Code pour la partie de formation délivrée  à distance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DIS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1200"/>
            </a:lnSpc>
            <a:defRPr sz="1000"/>
          </a:pPr>
          <a:r>
            <a:rPr lang="fr-FR" sz="1100" b="0" i="0" u="none" strike="noStrike">
              <a:solidFill>
                <a:srgbClr val="000000"/>
              </a:solidFill>
              <a:latin typeface="Calibri"/>
              <a:cs typeface="Calibri"/>
            </a:rPr>
            <a:t> 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234462</xdr:colOff>
      <xdr:row>50</xdr:row>
      <xdr:rowOff>52265</xdr:rowOff>
    </xdr:from>
    <xdr:to>
      <xdr:col>12</xdr:col>
      <xdr:colOff>493541</xdr:colOff>
      <xdr:row>53</xdr:row>
      <xdr:rowOff>33215</xdr:rowOff>
    </xdr:to>
    <xdr:sp macro="" textlink="">
      <xdr:nvSpPr>
        <xdr:cNvPr id="2" name="Rectangle à coins arrondis 2">
          <a:extLst>
            <a:ext uri="{FF2B5EF4-FFF2-40B4-BE49-F238E27FC236}">
              <a16:creationId xmlns:a16="http://schemas.microsoft.com/office/drawing/2014/main" id="{FA260D31-FE2C-4F96-943A-E0E44E663389}"/>
            </a:ext>
          </a:extLst>
        </xdr:cNvPr>
        <xdr:cNvSpPr>
          <a:spLocks noChangeArrowheads="1"/>
        </xdr:cNvSpPr>
      </xdr:nvSpPr>
      <xdr:spPr bwMode="auto">
        <a:xfrm>
          <a:off x="239224" y="10534527"/>
          <a:ext cx="10788967" cy="523875"/>
        </a:xfrm>
        <a:prstGeom prst="roundRect">
          <a:avLst>
            <a:gd name="adj" fmla="val 16667"/>
          </a:avLst>
        </a:prstGeom>
        <a:solidFill>
          <a:srgbClr val="F2F2F2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>
            <a:defRPr sz="1000"/>
          </a:pPr>
          <a:r>
            <a:rPr lang="fr-FR" sz="900" b="0" i="1" u="none" strike="noStrike">
              <a:solidFill>
                <a:srgbClr val="000000"/>
              </a:solidFill>
              <a:latin typeface="Calibri"/>
              <a:cs typeface="Calibri"/>
            </a:rPr>
            <a:t>*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Code séquences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FT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Formation technique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RAN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Remise à niveau :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E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Période de mise en pratique en entreprise 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S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Soutien personnalisé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PAF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Préparation à l'après-formation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**Codes absences : 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ANF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non facturables 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facturables  </a:t>
          </a:r>
          <a:endParaRPr/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***Code pour la partie de formation délivrée  à distance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DIS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1200"/>
            </a:lnSpc>
            <a:defRPr sz="1000"/>
          </a:pPr>
          <a:r>
            <a:rPr lang="fr-FR" sz="1100" b="0" i="0" u="none" strike="noStrike">
              <a:solidFill>
                <a:srgbClr val="000000"/>
              </a:solidFill>
              <a:latin typeface="Calibri"/>
              <a:cs typeface="Calibri"/>
            </a:rPr>
            <a:t> 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234462</xdr:colOff>
      <xdr:row>50</xdr:row>
      <xdr:rowOff>52265</xdr:rowOff>
    </xdr:from>
    <xdr:to>
      <xdr:col>12</xdr:col>
      <xdr:colOff>493541</xdr:colOff>
      <xdr:row>53</xdr:row>
      <xdr:rowOff>33215</xdr:rowOff>
    </xdr:to>
    <xdr:sp macro="" textlink="">
      <xdr:nvSpPr>
        <xdr:cNvPr id="2" name="Rectangle à coins arrondis 2">
          <a:extLst>
            <a:ext uri="{FF2B5EF4-FFF2-40B4-BE49-F238E27FC236}">
              <a16:creationId xmlns:a16="http://schemas.microsoft.com/office/drawing/2014/main" id="{C74E4F3C-B8C2-492B-ACD9-ABBB87303182}"/>
            </a:ext>
          </a:extLst>
        </xdr:cNvPr>
        <xdr:cNvSpPr>
          <a:spLocks noChangeArrowheads="1"/>
        </xdr:cNvSpPr>
      </xdr:nvSpPr>
      <xdr:spPr bwMode="auto">
        <a:xfrm>
          <a:off x="239224" y="10534527"/>
          <a:ext cx="10788967" cy="523875"/>
        </a:xfrm>
        <a:prstGeom prst="roundRect">
          <a:avLst>
            <a:gd name="adj" fmla="val 16667"/>
          </a:avLst>
        </a:prstGeom>
        <a:solidFill>
          <a:srgbClr val="F2F2F2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>
            <a:defRPr sz="1000"/>
          </a:pPr>
          <a:r>
            <a:rPr lang="fr-FR" sz="900" b="0" i="1" u="none" strike="noStrike">
              <a:solidFill>
                <a:srgbClr val="000000"/>
              </a:solidFill>
              <a:latin typeface="Calibri"/>
              <a:cs typeface="Calibri"/>
            </a:rPr>
            <a:t>*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Code séquences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FT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Formation technique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RAN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Remise à niveau :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E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Période de mise en pratique en entreprise 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S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Soutien personnalisé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PAF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Préparation à l'après-formation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**Codes absences : 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ANF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non facturables 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facturables  </a:t>
          </a:r>
          <a:endParaRPr/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***Code pour la partie de formation délivrée  à distance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DIS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1200"/>
            </a:lnSpc>
            <a:defRPr sz="1000"/>
          </a:pPr>
          <a:r>
            <a:rPr lang="fr-FR" sz="1100" b="0" i="0" u="none" strike="noStrike">
              <a:solidFill>
                <a:srgbClr val="000000"/>
              </a:solidFill>
              <a:latin typeface="Calibri"/>
              <a:cs typeface="Calibri"/>
            </a:rPr>
            <a:t> 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234462</xdr:colOff>
      <xdr:row>50</xdr:row>
      <xdr:rowOff>52265</xdr:rowOff>
    </xdr:from>
    <xdr:to>
      <xdr:col>12</xdr:col>
      <xdr:colOff>493541</xdr:colOff>
      <xdr:row>53</xdr:row>
      <xdr:rowOff>33215</xdr:rowOff>
    </xdr:to>
    <xdr:sp macro="" textlink="">
      <xdr:nvSpPr>
        <xdr:cNvPr id="2" name="Rectangle à coins arrondis 2">
          <a:extLst>
            <a:ext uri="{FF2B5EF4-FFF2-40B4-BE49-F238E27FC236}">
              <a16:creationId xmlns:a16="http://schemas.microsoft.com/office/drawing/2014/main" id="{8DD9BD29-C7B2-49BD-B0BE-3F08C51F89D6}"/>
            </a:ext>
          </a:extLst>
        </xdr:cNvPr>
        <xdr:cNvSpPr>
          <a:spLocks noChangeArrowheads="1"/>
        </xdr:cNvSpPr>
      </xdr:nvSpPr>
      <xdr:spPr bwMode="auto">
        <a:xfrm>
          <a:off x="239224" y="10534527"/>
          <a:ext cx="10788967" cy="523875"/>
        </a:xfrm>
        <a:prstGeom prst="roundRect">
          <a:avLst>
            <a:gd name="adj" fmla="val 16667"/>
          </a:avLst>
        </a:prstGeom>
        <a:solidFill>
          <a:srgbClr val="F2F2F2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>
            <a:defRPr sz="1000"/>
          </a:pPr>
          <a:r>
            <a:rPr lang="fr-FR" sz="900" b="0" i="1" u="none" strike="noStrike">
              <a:solidFill>
                <a:srgbClr val="000000"/>
              </a:solidFill>
              <a:latin typeface="Calibri"/>
              <a:cs typeface="Calibri"/>
            </a:rPr>
            <a:t>*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Code séquences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FT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Formation technique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RAN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Remise à niveau :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E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Période de mise en pratique en entreprise 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S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Soutien personnalisé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PAF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Préparation à l'après-formation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**Codes absences : 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ANF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non facturables 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facturables  </a:t>
          </a:r>
          <a:endParaRPr/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***Code pour la partie de formation délivrée  à distance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DIS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1200"/>
            </a:lnSpc>
            <a:defRPr sz="1000"/>
          </a:pPr>
          <a:r>
            <a:rPr lang="fr-FR" sz="1100" b="0" i="0" u="none" strike="noStrike">
              <a:solidFill>
                <a:srgbClr val="000000"/>
              </a:solidFill>
              <a:latin typeface="Calibri"/>
              <a:cs typeface="Calibri"/>
            </a:rPr>
            <a:t> 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234462</xdr:colOff>
      <xdr:row>50</xdr:row>
      <xdr:rowOff>52265</xdr:rowOff>
    </xdr:from>
    <xdr:to>
      <xdr:col>12</xdr:col>
      <xdr:colOff>493541</xdr:colOff>
      <xdr:row>53</xdr:row>
      <xdr:rowOff>33215</xdr:rowOff>
    </xdr:to>
    <xdr:sp macro="" textlink="">
      <xdr:nvSpPr>
        <xdr:cNvPr id="2" name="Rectangle à coins arrondis 2">
          <a:extLst>
            <a:ext uri="{FF2B5EF4-FFF2-40B4-BE49-F238E27FC236}">
              <a16:creationId xmlns:a16="http://schemas.microsoft.com/office/drawing/2014/main" id="{97B02729-8830-4CFE-98AE-FE24B91486E8}"/>
            </a:ext>
          </a:extLst>
        </xdr:cNvPr>
        <xdr:cNvSpPr>
          <a:spLocks noChangeArrowheads="1"/>
        </xdr:cNvSpPr>
      </xdr:nvSpPr>
      <xdr:spPr bwMode="auto">
        <a:xfrm>
          <a:off x="239224" y="10534527"/>
          <a:ext cx="10788967" cy="523875"/>
        </a:xfrm>
        <a:prstGeom prst="roundRect">
          <a:avLst>
            <a:gd name="adj" fmla="val 16667"/>
          </a:avLst>
        </a:prstGeom>
        <a:solidFill>
          <a:srgbClr val="F2F2F2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>
            <a:defRPr sz="1000"/>
          </a:pPr>
          <a:r>
            <a:rPr lang="fr-FR" sz="900" b="0" i="1" u="none" strike="noStrike">
              <a:solidFill>
                <a:srgbClr val="000000"/>
              </a:solidFill>
              <a:latin typeface="Calibri"/>
              <a:cs typeface="Calibri"/>
            </a:rPr>
            <a:t>*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Code séquences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FT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Formation technique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RAN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Remise à niveau :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E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Période de mise en pratique en entreprise 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S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Soutien personnalisé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PAF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Préparation à l'après-formation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**Codes absences : 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ANF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non facturables 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facturables  </a:t>
          </a:r>
          <a:endParaRPr/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***Code pour la partie de formation délivrée  à distance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DIS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1200"/>
            </a:lnSpc>
            <a:defRPr sz="1000"/>
          </a:pPr>
          <a:r>
            <a:rPr lang="fr-FR" sz="1100" b="0" i="0" u="none" strike="noStrike">
              <a:solidFill>
                <a:srgbClr val="000000"/>
              </a:solidFill>
              <a:latin typeface="Calibri"/>
              <a:cs typeface="Calibri"/>
            </a:rPr>
            <a:t> 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234462</xdr:colOff>
      <xdr:row>50</xdr:row>
      <xdr:rowOff>52265</xdr:rowOff>
    </xdr:from>
    <xdr:to>
      <xdr:col>12</xdr:col>
      <xdr:colOff>493541</xdr:colOff>
      <xdr:row>53</xdr:row>
      <xdr:rowOff>33215</xdr:rowOff>
    </xdr:to>
    <xdr:sp macro="" textlink="">
      <xdr:nvSpPr>
        <xdr:cNvPr id="2" name="Rectangle à coins arrondis 2">
          <a:extLst>
            <a:ext uri="{FF2B5EF4-FFF2-40B4-BE49-F238E27FC236}">
              <a16:creationId xmlns:a16="http://schemas.microsoft.com/office/drawing/2014/main" id="{D1F0FA50-1EA2-471E-A309-60D79CDDE102}"/>
            </a:ext>
          </a:extLst>
        </xdr:cNvPr>
        <xdr:cNvSpPr>
          <a:spLocks noChangeArrowheads="1"/>
        </xdr:cNvSpPr>
      </xdr:nvSpPr>
      <xdr:spPr bwMode="auto">
        <a:xfrm>
          <a:off x="239224" y="10534527"/>
          <a:ext cx="10788967" cy="523875"/>
        </a:xfrm>
        <a:prstGeom prst="roundRect">
          <a:avLst>
            <a:gd name="adj" fmla="val 16667"/>
          </a:avLst>
        </a:prstGeom>
        <a:solidFill>
          <a:srgbClr val="F2F2F2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>
            <a:defRPr sz="1000"/>
          </a:pPr>
          <a:r>
            <a:rPr lang="fr-FR" sz="900" b="0" i="1" u="none" strike="noStrike">
              <a:solidFill>
                <a:srgbClr val="000000"/>
              </a:solidFill>
              <a:latin typeface="Calibri"/>
              <a:cs typeface="Calibri"/>
            </a:rPr>
            <a:t>*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Code séquences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FT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Formation technique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RAN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Remise à niveau :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E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Période de mise en pratique en entreprise 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S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Soutien personnalisé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PAF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Préparation à l'après-formation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**Codes absences : 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ANF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non facturables 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facturables  </a:t>
          </a:r>
          <a:endParaRPr/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***Code pour la partie de formation délivrée  à distance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DIS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1200"/>
            </a:lnSpc>
            <a:defRPr sz="1000"/>
          </a:pPr>
          <a:r>
            <a:rPr lang="fr-FR" sz="1100" b="0" i="0" u="none" strike="noStrike">
              <a:solidFill>
                <a:srgbClr val="000000"/>
              </a:solidFill>
              <a:latin typeface="Calibri"/>
              <a:cs typeface="Calibri"/>
            </a:rPr>
            <a:t> 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234462</xdr:colOff>
      <xdr:row>50</xdr:row>
      <xdr:rowOff>52265</xdr:rowOff>
    </xdr:from>
    <xdr:to>
      <xdr:col>12</xdr:col>
      <xdr:colOff>493541</xdr:colOff>
      <xdr:row>53</xdr:row>
      <xdr:rowOff>33215</xdr:rowOff>
    </xdr:to>
    <xdr:sp macro="" textlink="">
      <xdr:nvSpPr>
        <xdr:cNvPr id="2" name="Rectangle à coins arrondis 2">
          <a:extLst>
            <a:ext uri="{FF2B5EF4-FFF2-40B4-BE49-F238E27FC236}">
              <a16:creationId xmlns:a16="http://schemas.microsoft.com/office/drawing/2014/main" id="{5E154A2E-E7C7-4FE6-9F72-A66407C37F5D}"/>
            </a:ext>
          </a:extLst>
        </xdr:cNvPr>
        <xdr:cNvSpPr>
          <a:spLocks noChangeArrowheads="1"/>
        </xdr:cNvSpPr>
      </xdr:nvSpPr>
      <xdr:spPr bwMode="auto">
        <a:xfrm>
          <a:off x="239224" y="10534527"/>
          <a:ext cx="10788967" cy="523875"/>
        </a:xfrm>
        <a:prstGeom prst="roundRect">
          <a:avLst>
            <a:gd name="adj" fmla="val 16667"/>
          </a:avLst>
        </a:prstGeom>
        <a:solidFill>
          <a:srgbClr val="F2F2F2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>
            <a:defRPr sz="1000"/>
          </a:pPr>
          <a:r>
            <a:rPr lang="fr-FR" sz="900" b="0" i="1" u="none" strike="noStrike">
              <a:solidFill>
                <a:srgbClr val="000000"/>
              </a:solidFill>
              <a:latin typeface="Calibri"/>
              <a:cs typeface="Calibri"/>
            </a:rPr>
            <a:t>*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Code séquences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FT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Formation technique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RAN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Remise à niveau :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E 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: Période de mise en pratique en entreprise 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S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Soutien personnalisé /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PAF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Préparation à l'après-formation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**Codes absences :  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ANF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non facturables  /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AF</a:t>
          </a: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 : Absences facturables  </a:t>
          </a:r>
          <a:endParaRPr/>
        </a:p>
        <a:p>
          <a:pPr algn="l">
            <a:lnSpc>
              <a:spcPts val="900"/>
            </a:lnSpc>
            <a:defRPr sz="1000"/>
          </a:pPr>
          <a:r>
            <a:rPr lang="fr-FR" sz="800" b="0" i="1" u="none" strike="noStrike">
              <a:solidFill>
                <a:srgbClr val="000000"/>
              </a:solidFill>
              <a:latin typeface="Calibri"/>
              <a:cs typeface="Calibri"/>
            </a:rPr>
            <a:t>***Code pour la partie de formation délivrée  à distance : </a:t>
          </a:r>
          <a:r>
            <a:rPr lang="fr-FR" sz="800" b="1" i="1" u="none" strike="noStrike">
              <a:solidFill>
                <a:srgbClr val="000000"/>
              </a:solidFill>
              <a:latin typeface="Calibri"/>
              <a:cs typeface="Calibri"/>
            </a:rPr>
            <a:t>DIS</a:t>
          </a:r>
          <a:endParaRPr lang="fr-FR" sz="1100" b="0" i="0" u="none" strike="noStrike">
            <a:solidFill>
              <a:srgbClr val="000000"/>
            </a:solidFill>
            <a:latin typeface="Calibri"/>
            <a:cs typeface="Calibri"/>
          </a:endParaRPr>
        </a:p>
        <a:p>
          <a:pPr algn="l">
            <a:lnSpc>
              <a:spcPts val="1200"/>
            </a:lnSpc>
            <a:defRPr sz="1000"/>
          </a:pPr>
          <a:r>
            <a:rPr lang="fr-FR" sz="1100" b="0" i="0" u="none" strike="noStrike">
              <a:solidFill>
                <a:srgbClr val="000000"/>
              </a:solidFill>
              <a:latin typeface="Calibri"/>
              <a:cs typeface="Calibri"/>
            </a:rPr>
            <a:t> 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1"/>
  <sheetViews>
    <sheetView workbookViewId="0">
      <selection activeCell="C45" sqref="C45:L45"/>
    </sheetView>
  </sheetViews>
  <sheetFormatPr baseColWidth="10" defaultColWidth="11.33203125" defaultRowHeight="15" x14ac:dyDescent="0.2"/>
  <cols>
    <col min="1" max="1" width="26.33203125" customWidth="1"/>
    <col min="2" max="12" width="10.33203125" customWidth="1"/>
    <col min="13" max="13" width="14.33203125" customWidth="1"/>
  </cols>
  <sheetData>
    <row r="1" spans="1:13" x14ac:dyDescent="0.2">
      <c r="A1" s="1" t="s">
        <v>0</v>
      </c>
    </row>
    <row r="3" spans="1:13" x14ac:dyDescent="0.2">
      <c r="A3" t="s">
        <v>1</v>
      </c>
      <c r="B3" t="s">
        <v>2</v>
      </c>
      <c r="E3" t="s">
        <v>3</v>
      </c>
      <c r="F3" t="s">
        <v>4</v>
      </c>
      <c r="G3" s="2"/>
    </row>
    <row r="4" spans="1:13" x14ac:dyDescent="0.2">
      <c r="A4" t="s">
        <v>5</v>
      </c>
      <c r="B4" t="s">
        <v>6</v>
      </c>
      <c r="E4" s="3" t="s">
        <v>7</v>
      </c>
      <c r="G4" s="2"/>
      <c r="H4" s="4" t="s">
        <v>8</v>
      </c>
    </row>
    <row r="5" spans="1:13" x14ac:dyDescent="0.2">
      <c r="A5" t="s">
        <v>9</v>
      </c>
      <c r="B5" t="s">
        <v>10</v>
      </c>
      <c r="G5" s="2"/>
    </row>
    <row r="6" spans="1:13" x14ac:dyDescent="0.2">
      <c r="A6" t="s">
        <v>11</v>
      </c>
      <c r="B6" s="1" t="s">
        <v>12</v>
      </c>
      <c r="G6" s="2"/>
    </row>
    <row r="7" spans="1:13" x14ac:dyDescent="0.2">
      <c r="A7" t="s">
        <v>13</v>
      </c>
      <c r="B7" s="1" t="s">
        <v>14</v>
      </c>
      <c r="E7" t="s">
        <v>15</v>
      </c>
      <c r="G7" s="2"/>
    </row>
    <row r="8" spans="1:13" x14ac:dyDescent="0.2">
      <c r="A8" t="s">
        <v>16</v>
      </c>
      <c r="B8" s="5">
        <v>2</v>
      </c>
      <c r="G8" s="2"/>
    </row>
    <row r="9" spans="1:13" ht="9" customHeight="1" x14ac:dyDescent="0.2"/>
    <row r="10" spans="1:13" ht="26.5" customHeight="1" x14ac:dyDescent="0.2">
      <c r="A10" s="91" t="s">
        <v>17</v>
      </c>
      <c r="B10" s="91" t="s">
        <v>18</v>
      </c>
      <c r="C10" s="92" t="s">
        <v>19</v>
      </c>
      <c r="D10" s="91"/>
      <c r="E10" s="91" t="s">
        <v>20</v>
      </c>
      <c r="F10" s="91"/>
      <c r="G10" s="91" t="s">
        <v>21</v>
      </c>
      <c r="H10" s="91"/>
      <c r="I10" s="91" t="s">
        <v>22</v>
      </c>
      <c r="J10" s="91"/>
      <c r="K10" s="91" t="s">
        <v>23</v>
      </c>
      <c r="L10" s="91"/>
      <c r="M10" s="91" t="s">
        <v>24</v>
      </c>
    </row>
    <row r="11" spans="1:13" x14ac:dyDescent="0.2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</row>
    <row r="12" spans="1:13" x14ac:dyDescent="0.2">
      <c r="A12" s="6"/>
      <c r="B12" s="93"/>
      <c r="C12" s="8" t="s">
        <v>25</v>
      </c>
      <c r="D12" s="8" t="s">
        <v>26</v>
      </c>
      <c r="E12" s="8" t="s">
        <v>25</v>
      </c>
      <c r="F12" s="8" t="s">
        <v>26</v>
      </c>
      <c r="G12" s="8" t="s">
        <v>25</v>
      </c>
      <c r="H12" s="8" t="s">
        <v>26</v>
      </c>
      <c r="I12" s="8" t="s">
        <v>25</v>
      </c>
      <c r="J12" s="8" t="s">
        <v>26</v>
      </c>
      <c r="K12" s="8" t="s">
        <v>25</v>
      </c>
      <c r="L12" s="8" t="s">
        <v>26</v>
      </c>
      <c r="M12" s="9"/>
    </row>
    <row r="13" spans="1:13" ht="16" x14ac:dyDescent="0.2">
      <c r="A13" s="10" t="s">
        <v>27</v>
      </c>
      <c r="B13" s="93"/>
      <c r="C13" s="11" t="s">
        <v>28</v>
      </c>
      <c r="D13" s="11" t="s">
        <v>28</v>
      </c>
      <c r="E13" s="11" t="s">
        <v>29</v>
      </c>
      <c r="F13" s="11" t="s">
        <v>29</v>
      </c>
      <c r="G13" s="11" t="s">
        <v>29</v>
      </c>
      <c r="H13" s="11" t="s">
        <v>29</v>
      </c>
      <c r="I13" s="11" t="s">
        <v>29</v>
      </c>
      <c r="J13" s="11" t="s">
        <v>29</v>
      </c>
      <c r="K13" s="11" t="s">
        <v>30</v>
      </c>
      <c r="L13" s="11" t="s">
        <v>30</v>
      </c>
      <c r="M13" s="12"/>
    </row>
    <row r="14" spans="1:13" ht="15.5" customHeight="1" x14ac:dyDescent="0.2">
      <c r="A14" s="13" t="s">
        <v>31</v>
      </c>
      <c r="B14" s="14" t="s">
        <v>32</v>
      </c>
      <c r="C14" s="15" t="s">
        <v>33</v>
      </c>
      <c r="D14" s="15" t="s">
        <v>33</v>
      </c>
      <c r="E14" s="15" t="s">
        <v>33</v>
      </c>
      <c r="F14" s="15" t="s">
        <v>33</v>
      </c>
      <c r="G14" s="15" t="s">
        <v>33</v>
      </c>
      <c r="H14" s="15" t="s">
        <v>33</v>
      </c>
      <c r="I14" s="15" t="s">
        <v>34</v>
      </c>
      <c r="J14" s="15" t="s">
        <v>34</v>
      </c>
      <c r="K14" s="15" t="s">
        <v>34</v>
      </c>
      <c r="L14" s="15" t="s">
        <v>34</v>
      </c>
      <c r="M14" s="16">
        <v>30</v>
      </c>
    </row>
    <row r="15" spans="1:13" ht="16" x14ac:dyDescent="0.2">
      <c r="A15" s="17" t="s">
        <v>35</v>
      </c>
      <c r="B15" s="7"/>
      <c r="C15" s="18"/>
      <c r="D15" s="18"/>
      <c r="E15" s="18"/>
      <c r="F15" s="19" t="s">
        <v>36</v>
      </c>
      <c r="G15" s="18"/>
      <c r="H15" s="19" t="s">
        <v>36</v>
      </c>
      <c r="I15" s="18"/>
      <c r="J15" s="18"/>
      <c r="K15" s="18"/>
      <c r="L15" s="18"/>
      <c r="M15" s="16">
        <v>2</v>
      </c>
    </row>
    <row r="16" spans="1:13" ht="28.5" customHeight="1" x14ac:dyDescent="0.2">
      <c r="A16" s="17" t="s">
        <v>37</v>
      </c>
      <c r="B16" s="20"/>
      <c r="C16" s="96"/>
      <c r="D16" s="96"/>
      <c r="E16" s="93"/>
      <c r="F16" s="93"/>
      <c r="G16" s="93"/>
      <c r="H16" s="93"/>
      <c r="I16" s="93"/>
      <c r="J16" s="93"/>
      <c r="K16" s="93"/>
      <c r="L16" s="93"/>
      <c r="M16" s="21"/>
    </row>
    <row r="17" spans="1:13" ht="16" x14ac:dyDescent="0.2">
      <c r="A17" s="13" t="s">
        <v>38</v>
      </c>
      <c r="B17" s="15" t="s">
        <v>39</v>
      </c>
      <c r="C17" s="22" t="s">
        <v>40</v>
      </c>
      <c r="D17" s="22" t="s">
        <v>40</v>
      </c>
      <c r="E17" s="15" t="s">
        <v>33</v>
      </c>
      <c r="F17" s="15" t="s">
        <v>33</v>
      </c>
      <c r="G17" s="15" t="s">
        <v>33</v>
      </c>
      <c r="H17" s="15" t="s">
        <v>33</v>
      </c>
      <c r="I17" s="15" t="s">
        <v>34</v>
      </c>
      <c r="J17" s="15" t="s">
        <v>34</v>
      </c>
      <c r="K17" s="15" t="s">
        <v>41</v>
      </c>
      <c r="L17" s="15" t="s">
        <v>41</v>
      </c>
      <c r="M17" s="16">
        <v>24</v>
      </c>
    </row>
    <row r="18" spans="1:13" ht="18" customHeight="1" x14ac:dyDescent="0.2">
      <c r="A18" s="17" t="s">
        <v>35</v>
      </c>
      <c r="B18" s="7"/>
      <c r="C18" s="7"/>
      <c r="D18" s="7"/>
      <c r="E18" s="7" t="s">
        <v>42</v>
      </c>
      <c r="F18" s="7"/>
      <c r="G18" s="7"/>
      <c r="H18" s="7"/>
      <c r="I18" s="7"/>
      <c r="J18" s="7"/>
      <c r="K18" s="7"/>
      <c r="L18" s="7"/>
      <c r="M18" s="16">
        <v>1</v>
      </c>
    </row>
    <row r="19" spans="1:13" ht="28.5" customHeight="1" x14ac:dyDescent="0.2">
      <c r="A19" s="17" t="s">
        <v>37</v>
      </c>
      <c r="B19" s="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12"/>
    </row>
    <row r="20" spans="1:13" ht="16" x14ac:dyDescent="0.2">
      <c r="A20" s="13" t="s">
        <v>43</v>
      </c>
      <c r="B20" s="23">
        <v>2222222</v>
      </c>
      <c r="C20" s="22" t="s">
        <v>40</v>
      </c>
      <c r="D20" s="15" t="s">
        <v>33</v>
      </c>
      <c r="E20" s="15" t="s">
        <v>33</v>
      </c>
      <c r="F20" s="15" t="s">
        <v>33</v>
      </c>
      <c r="G20" s="24" t="s">
        <v>44</v>
      </c>
      <c r="H20" s="24" t="s">
        <v>44</v>
      </c>
      <c r="I20" s="15" t="s">
        <v>33</v>
      </c>
      <c r="J20" s="15" t="s">
        <v>33</v>
      </c>
      <c r="K20" s="15" t="s">
        <v>33</v>
      </c>
      <c r="L20" s="15" t="s">
        <v>33</v>
      </c>
      <c r="M20" s="25">
        <v>21</v>
      </c>
    </row>
    <row r="21" spans="1:13" ht="16" x14ac:dyDescent="0.2">
      <c r="A21" s="17" t="s">
        <v>35</v>
      </c>
      <c r="B21" s="7"/>
      <c r="C21" s="7"/>
      <c r="D21" s="7"/>
      <c r="E21" s="7"/>
      <c r="F21" s="7"/>
      <c r="G21" s="7"/>
      <c r="H21" s="7"/>
      <c r="I21" s="7"/>
      <c r="J21" s="7" t="s">
        <v>36</v>
      </c>
      <c r="K21" s="7"/>
      <c r="L21" s="7"/>
      <c r="M21" s="25">
        <v>1</v>
      </c>
    </row>
    <row r="22" spans="1:13" hidden="1" x14ac:dyDescent="0.2">
      <c r="A22" s="26" t="s">
        <v>35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25"/>
    </row>
    <row r="23" spans="1:13" hidden="1" x14ac:dyDescent="0.2">
      <c r="A23" s="26" t="s">
        <v>37</v>
      </c>
      <c r="B23" s="1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12"/>
    </row>
    <row r="24" spans="1:13" hidden="1" x14ac:dyDescent="0.2">
      <c r="A24" s="93">
        <v>4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25"/>
    </row>
    <row r="25" spans="1:13" hidden="1" x14ac:dyDescent="0.2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25"/>
    </row>
    <row r="26" spans="1:13" hidden="1" x14ac:dyDescent="0.2">
      <c r="A26" s="26" t="s">
        <v>35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25"/>
    </row>
    <row r="27" spans="1:13" hidden="1" x14ac:dyDescent="0.2">
      <c r="A27" s="26" t="s">
        <v>37</v>
      </c>
      <c r="B27" s="7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12"/>
    </row>
    <row r="28" spans="1:13" hidden="1" x14ac:dyDescent="0.2">
      <c r="A28" s="94">
        <v>5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25"/>
    </row>
    <row r="29" spans="1:13" hidden="1" x14ac:dyDescent="0.2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25"/>
    </row>
    <row r="30" spans="1:13" hidden="1" x14ac:dyDescent="0.2">
      <c r="A30" s="26" t="s">
        <v>35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25"/>
    </row>
    <row r="31" spans="1:13" hidden="1" x14ac:dyDescent="0.2">
      <c r="A31" s="26" t="s">
        <v>37</v>
      </c>
      <c r="B31" s="1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12"/>
    </row>
    <row r="32" spans="1:13" hidden="1" x14ac:dyDescent="0.2">
      <c r="A32" s="93">
        <v>6</v>
      </c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25"/>
    </row>
    <row r="33" spans="1:15" hidden="1" x14ac:dyDescent="0.2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25"/>
    </row>
    <row r="34" spans="1:15" hidden="1" x14ac:dyDescent="0.2">
      <c r="A34" s="26" t="s">
        <v>35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25"/>
    </row>
    <row r="35" spans="1:15" hidden="1" x14ac:dyDescent="0.2">
      <c r="A35" s="26" t="s">
        <v>37</v>
      </c>
      <c r="B35" s="7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12"/>
    </row>
    <row r="36" spans="1:15" hidden="1" x14ac:dyDescent="0.2">
      <c r="A36" s="94">
        <v>7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25"/>
    </row>
    <row r="37" spans="1:15" hidden="1" x14ac:dyDescent="0.2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25"/>
    </row>
    <row r="38" spans="1:15" hidden="1" x14ac:dyDescent="0.2">
      <c r="A38" s="26" t="s">
        <v>35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5"/>
    </row>
    <row r="39" spans="1:15" hidden="1" x14ac:dyDescent="0.2">
      <c r="A39" s="26" t="s">
        <v>37</v>
      </c>
      <c r="B39" s="1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12"/>
    </row>
    <row r="40" spans="1:15" hidden="1" x14ac:dyDescent="0.2">
      <c r="A40" s="93">
        <v>8</v>
      </c>
      <c r="B40" s="93"/>
      <c r="C40" s="93"/>
      <c r="D40" s="93"/>
      <c r="E40" s="93"/>
      <c r="F40" s="93"/>
      <c r="G40" s="95"/>
      <c r="H40" s="93"/>
      <c r="I40" s="93"/>
      <c r="J40" s="93"/>
      <c r="K40" s="93"/>
      <c r="L40" s="93"/>
      <c r="M40" s="25"/>
    </row>
    <row r="41" spans="1:15" hidden="1" x14ac:dyDescent="0.2">
      <c r="A41" s="93"/>
      <c r="B41" s="93"/>
      <c r="C41" s="93"/>
      <c r="D41" s="93"/>
      <c r="E41" s="93"/>
      <c r="F41" s="93"/>
      <c r="G41" s="95"/>
      <c r="H41" s="93"/>
      <c r="I41" s="93"/>
      <c r="J41" s="93"/>
      <c r="K41" s="93"/>
      <c r="L41" s="93"/>
      <c r="M41" s="25"/>
    </row>
    <row r="42" spans="1:15" hidden="1" x14ac:dyDescent="0.2">
      <c r="A42" s="26" t="s">
        <v>35</v>
      </c>
      <c r="B42" s="7"/>
      <c r="C42" s="7"/>
      <c r="D42" s="7"/>
      <c r="E42" s="7"/>
      <c r="F42" s="7"/>
      <c r="G42" s="27"/>
      <c r="H42" s="7"/>
      <c r="I42" s="7"/>
      <c r="J42" s="7"/>
      <c r="K42" s="7"/>
      <c r="L42" s="7"/>
      <c r="M42" s="25"/>
    </row>
    <row r="43" spans="1:15" hidden="1" x14ac:dyDescent="0.2">
      <c r="A43" s="26" t="s">
        <v>37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12"/>
    </row>
    <row r="44" spans="1:15" ht="28.5" customHeight="1" x14ac:dyDescent="0.2">
      <c r="A44" s="17" t="s">
        <v>37</v>
      </c>
      <c r="B44" s="7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12"/>
    </row>
    <row r="45" spans="1:15" ht="22.5" customHeight="1" x14ac:dyDescent="0.2">
      <c r="A45" s="28" t="s">
        <v>45</v>
      </c>
      <c r="B45" s="28"/>
      <c r="C45" s="28">
        <v>3</v>
      </c>
      <c r="D45" s="28">
        <v>6</v>
      </c>
      <c r="E45" s="28">
        <v>10</v>
      </c>
      <c r="F45" s="28">
        <v>10</v>
      </c>
      <c r="G45" s="28">
        <v>6</v>
      </c>
      <c r="H45" s="28">
        <v>7</v>
      </c>
      <c r="I45" s="28">
        <v>9</v>
      </c>
      <c r="J45" s="28">
        <v>10</v>
      </c>
      <c r="K45" s="28">
        <v>9</v>
      </c>
      <c r="L45" s="28">
        <v>9</v>
      </c>
      <c r="M45" s="29">
        <f>SUM(C45:L45)</f>
        <v>79</v>
      </c>
      <c r="N45">
        <f>SUM(M14:M21)</f>
        <v>79</v>
      </c>
      <c r="O45" t="s">
        <v>46</v>
      </c>
    </row>
    <row r="46" spans="1:15" ht="27" customHeight="1" x14ac:dyDescent="0.2">
      <c r="A46" s="28" t="s">
        <v>47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30">
        <v>6</v>
      </c>
    </row>
    <row r="47" spans="1:15" ht="27.5" customHeight="1" x14ac:dyDescent="0.2">
      <c r="A47" s="28" t="s">
        <v>48</v>
      </c>
      <c r="B47" s="28" t="s">
        <v>49</v>
      </c>
      <c r="C47" s="28" t="s">
        <v>50</v>
      </c>
      <c r="D47" s="28" t="s">
        <v>50</v>
      </c>
      <c r="E47" s="28" t="s">
        <v>50</v>
      </c>
      <c r="F47" s="28" t="s">
        <v>50</v>
      </c>
      <c r="G47" s="28" t="s">
        <v>50</v>
      </c>
      <c r="H47" s="28" t="s">
        <v>50</v>
      </c>
      <c r="I47" s="28"/>
      <c r="J47" s="28"/>
      <c r="K47" s="28"/>
      <c r="L47" s="28"/>
      <c r="M47" s="28"/>
    </row>
    <row r="48" spans="1:15" ht="27.5" customHeight="1" x14ac:dyDescent="0.2">
      <c r="A48" s="28" t="s">
        <v>48</v>
      </c>
      <c r="B48" s="28" t="s">
        <v>51</v>
      </c>
      <c r="C48" s="28"/>
      <c r="D48" s="28"/>
      <c r="E48" s="28"/>
      <c r="F48" s="28"/>
      <c r="G48" s="28"/>
      <c r="H48" s="28"/>
      <c r="I48" s="28" t="s">
        <v>50</v>
      </c>
      <c r="J48" s="28" t="s">
        <v>50</v>
      </c>
      <c r="K48" s="28" t="s">
        <v>50</v>
      </c>
      <c r="L48" s="28" t="s">
        <v>50</v>
      </c>
      <c r="M48" s="28"/>
    </row>
    <row r="49" spans="1:13" hidden="1" x14ac:dyDescent="0.2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</row>
    <row r="50" spans="1:13" hidden="1" x14ac:dyDescent="0.2"/>
    <row r="51" spans="1:13" hidden="1" x14ac:dyDescent="0.2"/>
  </sheetData>
  <mergeCells count="109">
    <mergeCell ref="A10:A11"/>
    <mergeCell ref="B10:B11"/>
    <mergeCell ref="C10:D11"/>
    <mergeCell ref="E10:F11"/>
    <mergeCell ref="G10:H11"/>
    <mergeCell ref="I10:J11"/>
    <mergeCell ref="K10:L11"/>
    <mergeCell ref="M10:M11"/>
    <mergeCell ref="B12:B13"/>
    <mergeCell ref="C16:D16"/>
    <mergeCell ref="E16:F16"/>
    <mergeCell ref="G16:H16"/>
    <mergeCell ref="I16:J16"/>
    <mergeCell ref="K16:L16"/>
    <mergeCell ref="C19:D19"/>
    <mergeCell ref="E19:F19"/>
    <mergeCell ref="G19:H19"/>
    <mergeCell ref="I19:J19"/>
    <mergeCell ref="K19:L19"/>
    <mergeCell ref="C23:D23"/>
    <mergeCell ref="E23:F23"/>
    <mergeCell ref="G23:H23"/>
    <mergeCell ref="I23:J23"/>
    <mergeCell ref="K23:L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C27:D27"/>
    <mergeCell ref="E27:F27"/>
    <mergeCell ref="G27:H27"/>
    <mergeCell ref="I27:J27"/>
    <mergeCell ref="K27:L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C31:D31"/>
    <mergeCell ref="E31:F31"/>
    <mergeCell ref="G31:H31"/>
    <mergeCell ref="I31:J31"/>
    <mergeCell ref="K31:L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K32:K33"/>
    <mergeCell ref="L32:L33"/>
    <mergeCell ref="C35:D35"/>
    <mergeCell ref="E35:F35"/>
    <mergeCell ref="G35:H35"/>
    <mergeCell ref="I35:J35"/>
    <mergeCell ref="K35:L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C44:D44"/>
    <mergeCell ref="E44:F44"/>
    <mergeCell ref="G44:H44"/>
    <mergeCell ref="I44:J44"/>
    <mergeCell ref="K44:L44"/>
    <mergeCell ref="C39:D39"/>
    <mergeCell ref="E39:F39"/>
    <mergeCell ref="G39:H39"/>
    <mergeCell ref="I39:J39"/>
    <mergeCell ref="K39:L39"/>
    <mergeCell ref="J40:J41"/>
    <mergeCell ref="K40:K41"/>
    <mergeCell ref="L40:L41"/>
  </mergeCells>
  <pageMargins left="0.23622047244094491" right="0.23622047244094491" top="0.15748031496062992" bottom="0.15748031496062992" header="0.31496062992125984" footer="0.31496062992125984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3"/>
  <sheetViews>
    <sheetView showGridLines="0" tabSelected="1" zoomScale="140" zoomScaleNormal="140" workbookViewId="0">
      <selection activeCell="Q36" sqref="Q36"/>
    </sheetView>
  </sheetViews>
  <sheetFormatPr baseColWidth="10" defaultColWidth="11.33203125" defaultRowHeight="15" x14ac:dyDescent="0.2"/>
  <cols>
    <col min="1" max="1" width="30.6640625" customWidth="1"/>
    <col min="2" max="3" width="10.33203125" customWidth="1"/>
    <col min="4" max="4" width="12.83203125" customWidth="1"/>
    <col min="5" max="12" width="10.33203125" customWidth="1"/>
    <col min="13" max="13" width="14.33203125" customWidth="1"/>
  </cols>
  <sheetData>
    <row r="1" spans="1:13" x14ac:dyDescent="0.2">
      <c r="A1" s="1" t="s">
        <v>0</v>
      </c>
    </row>
    <row r="3" spans="1:13" x14ac:dyDescent="0.2">
      <c r="A3" s="66" t="s">
        <v>60</v>
      </c>
      <c r="E3" t="s">
        <v>52</v>
      </c>
      <c r="G3" s="2"/>
    </row>
    <row r="4" spans="1:13" x14ac:dyDescent="0.2">
      <c r="A4" s="66" t="s">
        <v>105</v>
      </c>
      <c r="E4" s="3" t="s">
        <v>7</v>
      </c>
      <c r="G4" s="2"/>
      <c r="H4" s="37" t="s">
        <v>53</v>
      </c>
      <c r="I4" s="37"/>
    </row>
    <row r="5" spans="1:13" x14ac:dyDescent="0.2">
      <c r="A5" s="38" t="s">
        <v>58</v>
      </c>
      <c r="G5" s="2"/>
      <c r="H5" s="37" t="s">
        <v>54</v>
      </c>
      <c r="I5" s="37"/>
    </row>
    <row r="6" spans="1:13" x14ac:dyDescent="0.2">
      <c r="A6" s="38" t="s">
        <v>59</v>
      </c>
      <c r="B6" s="1"/>
      <c r="G6" s="2"/>
      <c r="H6" s="37" t="s">
        <v>55</v>
      </c>
      <c r="I6" s="37"/>
    </row>
    <row r="7" spans="1:13" x14ac:dyDescent="0.2">
      <c r="A7" s="38" t="s">
        <v>57</v>
      </c>
      <c r="B7" s="1"/>
      <c r="E7" t="s">
        <v>15</v>
      </c>
      <c r="G7" s="2"/>
      <c r="H7" s="37" t="s">
        <v>56</v>
      </c>
      <c r="I7" s="37"/>
    </row>
    <row r="8" spans="1:13" x14ac:dyDescent="0.2">
      <c r="A8" s="66" t="s">
        <v>84</v>
      </c>
      <c r="B8" s="5"/>
      <c r="E8" s="66" t="s">
        <v>87</v>
      </c>
      <c r="G8" s="2"/>
    </row>
    <row r="9" spans="1:13" ht="9" customHeight="1" x14ac:dyDescent="0.2"/>
    <row r="10" spans="1:13" ht="26.5" customHeight="1" x14ac:dyDescent="0.2">
      <c r="A10" s="91" t="s">
        <v>17</v>
      </c>
      <c r="B10" s="91" t="s">
        <v>18</v>
      </c>
      <c r="C10" s="92" t="s">
        <v>120</v>
      </c>
      <c r="D10" s="91"/>
      <c r="E10" s="91" t="s">
        <v>121</v>
      </c>
      <c r="F10" s="91"/>
      <c r="G10" s="91" t="s">
        <v>88</v>
      </c>
      <c r="H10" s="91"/>
      <c r="I10" s="91" t="s">
        <v>89</v>
      </c>
      <c r="J10" s="91"/>
      <c r="K10" s="91" t="s">
        <v>90</v>
      </c>
      <c r="L10" s="91"/>
      <c r="M10" s="91" t="s">
        <v>24</v>
      </c>
    </row>
    <row r="11" spans="1:13" x14ac:dyDescent="0.2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</row>
    <row r="12" spans="1:13" x14ac:dyDescent="0.2">
      <c r="A12" s="6"/>
      <c r="B12" s="7"/>
      <c r="C12" s="48"/>
      <c r="D12" s="48"/>
      <c r="E12" s="48"/>
      <c r="F12" s="48"/>
      <c r="G12" s="8" t="s">
        <v>61</v>
      </c>
      <c r="H12" s="8" t="s">
        <v>26</v>
      </c>
      <c r="I12" s="8" t="s">
        <v>61</v>
      </c>
      <c r="J12" s="8" t="s">
        <v>26</v>
      </c>
      <c r="K12" s="8" t="s">
        <v>61</v>
      </c>
      <c r="L12" s="8" t="s">
        <v>26</v>
      </c>
      <c r="M12" s="9"/>
    </row>
    <row r="13" spans="1:13" ht="17" thickBot="1" x14ac:dyDescent="0.25">
      <c r="A13" s="32" t="s">
        <v>27</v>
      </c>
      <c r="B13" s="33"/>
      <c r="C13" s="49"/>
      <c r="D13" s="49"/>
      <c r="E13" s="49"/>
      <c r="F13" s="49"/>
      <c r="G13" s="39" t="s">
        <v>28</v>
      </c>
      <c r="H13" s="39" t="s">
        <v>28</v>
      </c>
      <c r="I13" s="39" t="s">
        <v>28</v>
      </c>
      <c r="J13" s="39" t="s">
        <v>28</v>
      </c>
      <c r="K13" s="39" t="s">
        <v>28</v>
      </c>
      <c r="L13" s="39" t="s">
        <v>28</v>
      </c>
      <c r="M13" s="75"/>
    </row>
    <row r="14" spans="1:13" ht="18.75" customHeight="1" x14ac:dyDescent="0.2">
      <c r="A14" s="64" t="s">
        <v>63</v>
      </c>
      <c r="B14" s="65" t="s">
        <v>64</v>
      </c>
      <c r="C14" s="46"/>
      <c r="D14" s="46"/>
      <c r="E14" s="46"/>
      <c r="F14" s="46"/>
      <c r="G14" s="46"/>
      <c r="H14" s="46"/>
      <c r="I14" s="46"/>
      <c r="J14" s="46"/>
      <c r="K14" s="46"/>
      <c r="L14" s="50"/>
      <c r="M14" s="76"/>
    </row>
    <row r="15" spans="1:13" ht="16" thickBot="1" x14ac:dyDescent="0.25">
      <c r="A15" s="34" t="s">
        <v>35</v>
      </c>
      <c r="B15" s="7"/>
      <c r="C15" s="51"/>
      <c r="D15" s="51"/>
      <c r="E15" s="51"/>
      <c r="F15" s="52"/>
      <c r="G15" s="51"/>
      <c r="H15" s="52"/>
      <c r="I15" s="51"/>
      <c r="J15" s="51"/>
      <c r="K15" s="51"/>
      <c r="L15" s="53"/>
      <c r="M15" s="77"/>
    </row>
    <row r="16" spans="1:13" ht="18.75" customHeight="1" x14ac:dyDescent="0.2">
      <c r="A16" s="64" t="s">
        <v>66</v>
      </c>
      <c r="B16" s="65" t="s">
        <v>65</v>
      </c>
      <c r="C16" s="46"/>
      <c r="D16" s="46"/>
      <c r="E16" s="46"/>
      <c r="F16" s="46"/>
      <c r="G16" s="41"/>
      <c r="H16" s="41"/>
      <c r="I16" s="41"/>
      <c r="J16" s="41"/>
      <c r="K16" s="41"/>
      <c r="L16" s="59"/>
      <c r="M16" s="77">
        <v>21</v>
      </c>
    </row>
    <row r="17" spans="1:13" ht="18" customHeight="1" thickBot="1" x14ac:dyDescent="0.25">
      <c r="A17" s="35" t="s">
        <v>35</v>
      </c>
      <c r="B17" s="40"/>
      <c r="C17" s="54"/>
      <c r="D17" s="54"/>
      <c r="E17" s="54"/>
      <c r="F17" s="54"/>
      <c r="G17" s="44"/>
      <c r="H17" s="44"/>
      <c r="I17" s="44"/>
      <c r="J17" s="44"/>
      <c r="K17" s="44"/>
      <c r="L17" s="61"/>
      <c r="M17" s="77"/>
    </row>
    <row r="18" spans="1:13" ht="18.75" customHeight="1" x14ac:dyDescent="0.2">
      <c r="A18" s="64" t="s">
        <v>67</v>
      </c>
      <c r="B18" s="65" t="s">
        <v>85</v>
      </c>
      <c r="C18" s="46"/>
      <c r="D18" s="46"/>
      <c r="E18" s="46"/>
      <c r="F18" s="46"/>
      <c r="G18" s="41"/>
      <c r="H18" s="41"/>
      <c r="I18" s="41"/>
      <c r="J18" s="41"/>
      <c r="K18" s="41"/>
      <c r="L18" s="59"/>
      <c r="M18" s="77">
        <v>21</v>
      </c>
    </row>
    <row r="19" spans="1:13" ht="16" thickBot="1" x14ac:dyDescent="0.25">
      <c r="A19" s="35" t="s">
        <v>35</v>
      </c>
      <c r="B19" s="40"/>
      <c r="C19" s="54"/>
      <c r="D19" s="54"/>
      <c r="E19" s="54"/>
      <c r="F19" s="54"/>
      <c r="G19" s="44"/>
      <c r="H19" s="44"/>
      <c r="I19" s="44"/>
      <c r="J19" s="44"/>
      <c r="K19" s="44"/>
      <c r="L19" s="61"/>
      <c r="M19" s="77"/>
    </row>
    <row r="20" spans="1:13" ht="18.75" customHeight="1" x14ac:dyDescent="0.2">
      <c r="A20" s="64" t="s">
        <v>68</v>
      </c>
      <c r="B20" s="65" t="s">
        <v>69</v>
      </c>
      <c r="C20" s="46"/>
      <c r="D20" s="46"/>
      <c r="E20" s="46"/>
      <c r="F20" s="46"/>
      <c r="G20" s="41"/>
      <c r="H20" s="41"/>
      <c r="I20" s="41"/>
      <c r="J20" s="41"/>
      <c r="K20" s="41"/>
      <c r="L20" s="59"/>
      <c r="M20" s="77">
        <v>21</v>
      </c>
    </row>
    <row r="21" spans="1:13" ht="16" thickBot="1" x14ac:dyDescent="0.25">
      <c r="A21" s="34" t="s">
        <v>35</v>
      </c>
      <c r="B21" s="7"/>
      <c r="C21" s="47"/>
      <c r="D21" s="47"/>
      <c r="E21" s="47"/>
      <c r="F21" s="47"/>
      <c r="G21" s="45"/>
      <c r="H21" s="45"/>
      <c r="I21" s="45"/>
      <c r="J21" s="45"/>
      <c r="K21" s="45"/>
      <c r="L21" s="62"/>
      <c r="M21" s="77"/>
    </row>
    <row r="22" spans="1:13" ht="18.75" customHeight="1" x14ac:dyDescent="0.2">
      <c r="A22" s="64" t="s">
        <v>70</v>
      </c>
      <c r="B22" s="65" t="s">
        <v>86</v>
      </c>
      <c r="C22" s="46"/>
      <c r="D22" s="46"/>
      <c r="E22" s="46"/>
      <c r="F22" s="46"/>
      <c r="G22" s="41"/>
      <c r="H22" s="41"/>
      <c r="I22" s="41"/>
      <c r="J22" s="41"/>
      <c r="K22" s="41"/>
      <c r="L22" s="59"/>
      <c r="M22" s="77">
        <v>21</v>
      </c>
    </row>
    <row r="23" spans="1:13" ht="16" thickBot="1" x14ac:dyDescent="0.25">
      <c r="A23" s="34" t="s">
        <v>35</v>
      </c>
      <c r="B23" s="7"/>
      <c r="C23" s="47"/>
      <c r="D23" s="47"/>
      <c r="E23" s="47"/>
      <c r="F23" s="47"/>
      <c r="G23" s="45"/>
      <c r="H23" s="45"/>
      <c r="I23" s="45"/>
      <c r="J23" s="45"/>
      <c r="K23" s="45"/>
      <c r="L23" s="62"/>
      <c r="M23" s="77"/>
    </row>
    <row r="24" spans="1:13" ht="18.75" customHeight="1" x14ac:dyDescent="0.2">
      <c r="A24" s="64" t="s">
        <v>71</v>
      </c>
      <c r="B24" s="65" t="s">
        <v>72</v>
      </c>
      <c r="C24" s="46"/>
      <c r="D24" s="46"/>
      <c r="E24" s="46"/>
      <c r="F24" s="46"/>
      <c r="G24" s="41"/>
      <c r="H24" s="41"/>
      <c r="I24" s="41"/>
      <c r="J24" s="41"/>
      <c r="K24" s="41"/>
      <c r="L24" s="59"/>
      <c r="M24" s="77">
        <v>21</v>
      </c>
    </row>
    <row r="25" spans="1:13" ht="16" thickBot="1" x14ac:dyDescent="0.25">
      <c r="A25" s="34" t="s">
        <v>35</v>
      </c>
      <c r="B25" s="7"/>
      <c r="C25" s="47"/>
      <c r="D25" s="47"/>
      <c r="E25" s="47"/>
      <c r="F25" s="47"/>
      <c r="G25" s="45"/>
      <c r="H25" s="45"/>
      <c r="I25" s="45"/>
      <c r="J25" s="45"/>
      <c r="K25" s="45"/>
      <c r="L25" s="62"/>
      <c r="M25" s="77"/>
    </row>
    <row r="26" spans="1:13" ht="18.75" customHeight="1" x14ac:dyDescent="0.2">
      <c r="A26" s="64" t="s">
        <v>73</v>
      </c>
      <c r="B26" s="65" t="s">
        <v>74</v>
      </c>
      <c r="C26" s="46"/>
      <c r="D26" s="46"/>
      <c r="E26" s="46"/>
      <c r="F26" s="46"/>
      <c r="G26" s="41"/>
      <c r="H26" s="41"/>
      <c r="I26" s="41"/>
      <c r="J26" s="41"/>
      <c r="K26" s="41"/>
      <c r="L26" s="59"/>
      <c r="M26" s="77">
        <v>21</v>
      </c>
    </row>
    <row r="27" spans="1:13" ht="16" thickBot="1" x14ac:dyDescent="0.25">
      <c r="A27" s="34" t="s">
        <v>35</v>
      </c>
      <c r="B27" s="7"/>
      <c r="C27" s="47"/>
      <c r="D27" s="47"/>
      <c r="E27" s="47"/>
      <c r="F27" s="47"/>
      <c r="G27" s="45"/>
      <c r="H27" s="45"/>
      <c r="I27" s="45"/>
      <c r="J27" s="45"/>
      <c r="K27" s="45"/>
      <c r="L27" s="62"/>
      <c r="M27" s="77"/>
    </row>
    <row r="28" spans="1:13" ht="20.25" customHeight="1" x14ac:dyDescent="0.2">
      <c r="A28" s="64" t="s">
        <v>75</v>
      </c>
      <c r="B28" s="65" t="s">
        <v>76</v>
      </c>
      <c r="C28" s="46"/>
      <c r="D28" s="46"/>
      <c r="E28" s="46"/>
      <c r="F28" s="46"/>
      <c r="G28" s="46"/>
      <c r="H28" s="46"/>
      <c r="I28" s="46"/>
      <c r="J28" s="46"/>
      <c r="K28" s="46"/>
      <c r="L28" s="50"/>
      <c r="M28" s="77"/>
    </row>
    <row r="29" spans="1:13" ht="16" thickBot="1" x14ac:dyDescent="0.25">
      <c r="A29" s="35" t="s">
        <v>35</v>
      </c>
      <c r="B29" s="40"/>
      <c r="C29" s="54"/>
      <c r="D29" s="54"/>
      <c r="E29" s="54"/>
      <c r="F29" s="54"/>
      <c r="G29" s="57"/>
      <c r="H29" s="54"/>
      <c r="I29" s="54"/>
      <c r="J29" s="54"/>
      <c r="K29" s="54"/>
      <c r="L29" s="55"/>
      <c r="M29" s="78"/>
    </row>
    <row r="30" spans="1:13" ht="18.75" customHeight="1" x14ac:dyDescent="0.2">
      <c r="A30" s="64" t="s">
        <v>77</v>
      </c>
      <c r="B30" s="65" t="s">
        <v>78</v>
      </c>
      <c r="C30" s="46"/>
      <c r="D30" s="46"/>
      <c r="E30" s="46"/>
      <c r="F30" s="46"/>
      <c r="G30" s="46"/>
      <c r="H30" s="46"/>
      <c r="I30" s="46"/>
      <c r="J30" s="46"/>
      <c r="K30" s="46"/>
      <c r="L30" s="50"/>
      <c r="M30" s="77"/>
    </row>
    <row r="31" spans="1:13" ht="16" thickBot="1" x14ac:dyDescent="0.25">
      <c r="A31" s="34" t="s">
        <v>35</v>
      </c>
      <c r="B31" s="7"/>
      <c r="C31" s="47"/>
      <c r="D31" s="47"/>
      <c r="E31" s="47"/>
      <c r="F31" s="47"/>
      <c r="G31" s="47"/>
      <c r="H31" s="47"/>
      <c r="I31" s="47"/>
      <c r="J31" s="47"/>
      <c r="K31" s="47"/>
      <c r="L31" s="56"/>
      <c r="M31" s="77"/>
    </row>
    <row r="32" spans="1:13" ht="18.75" customHeight="1" x14ac:dyDescent="0.2">
      <c r="A32" s="64" t="s">
        <v>79</v>
      </c>
      <c r="B32" s="65" t="s">
        <v>80</v>
      </c>
      <c r="C32" s="46"/>
      <c r="D32" s="46"/>
      <c r="E32" s="46"/>
      <c r="F32" s="46"/>
      <c r="G32" s="41"/>
      <c r="H32" s="41"/>
      <c r="I32" s="41"/>
      <c r="J32" s="41"/>
      <c r="K32" s="41"/>
      <c r="L32" s="59"/>
      <c r="M32" s="77">
        <v>21</v>
      </c>
    </row>
    <row r="33" spans="1:13" ht="16" thickBot="1" x14ac:dyDescent="0.25">
      <c r="A33" s="34" t="s">
        <v>35</v>
      </c>
      <c r="B33" s="7"/>
      <c r="C33" s="47"/>
      <c r="D33" s="47"/>
      <c r="E33" s="47"/>
      <c r="F33" s="47"/>
      <c r="G33" s="45"/>
      <c r="H33" s="45"/>
      <c r="I33" s="45"/>
      <c r="J33" s="45"/>
      <c r="K33" s="45"/>
      <c r="L33" s="62"/>
      <c r="M33" s="77"/>
    </row>
    <row r="34" spans="1:13" ht="20.25" customHeight="1" x14ac:dyDescent="0.2">
      <c r="A34" s="64" t="s">
        <v>81</v>
      </c>
      <c r="B34" s="65" t="s">
        <v>82</v>
      </c>
      <c r="C34" s="46"/>
      <c r="D34" s="46"/>
      <c r="E34" s="46"/>
      <c r="F34" s="46"/>
      <c r="G34" s="46"/>
      <c r="H34" s="46"/>
      <c r="I34" s="46"/>
      <c r="J34" s="46"/>
      <c r="K34" s="46"/>
      <c r="L34" s="50"/>
      <c r="M34" s="77"/>
    </row>
    <row r="35" spans="1:13" ht="16" thickBot="1" x14ac:dyDescent="0.25">
      <c r="A35" s="35" t="s">
        <v>35</v>
      </c>
      <c r="B35" s="40"/>
      <c r="C35" s="54"/>
      <c r="D35" s="54"/>
      <c r="E35" s="54"/>
      <c r="F35" s="54"/>
      <c r="G35" s="57"/>
      <c r="H35" s="54"/>
      <c r="I35" s="54"/>
      <c r="J35" s="54"/>
      <c r="K35" s="54"/>
      <c r="L35" s="55"/>
      <c r="M35" s="78"/>
    </row>
    <row r="36" spans="1:13" ht="20.25" customHeight="1" x14ac:dyDescent="0.2">
      <c r="A36" s="81" t="s">
        <v>119</v>
      </c>
      <c r="B36" s="82" t="s">
        <v>83</v>
      </c>
      <c r="C36" s="46"/>
      <c r="D36" s="46"/>
      <c r="E36" s="46"/>
      <c r="F36" s="46"/>
      <c r="G36" s="41"/>
      <c r="H36" s="41"/>
      <c r="I36" s="41"/>
      <c r="J36" s="41"/>
      <c r="K36" s="41"/>
      <c r="L36" s="59"/>
      <c r="M36" s="77">
        <v>21</v>
      </c>
    </row>
    <row r="37" spans="1:13" ht="16" thickBot="1" x14ac:dyDescent="0.25">
      <c r="A37" s="67" t="s">
        <v>35</v>
      </c>
      <c r="B37" s="18"/>
      <c r="C37" s="51"/>
      <c r="D37" s="51"/>
      <c r="E37" s="51"/>
      <c r="F37" s="51"/>
      <c r="G37" s="80"/>
      <c r="H37" s="42"/>
      <c r="I37" s="42"/>
      <c r="J37" s="42"/>
      <c r="K37" s="42"/>
      <c r="L37" s="60"/>
      <c r="M37" s="79"/>
    </row>
    <row r="38" spans="1:13" x14ac:dyDescent="0.2">
      <c r="A38" s="68"/>
      <c r="B38" s="69"/>
      <c r="C38" s="69"/>
      <c r="D38" s="69"/>
      <c r="E38" s="69"/>
      <c r="F38" s="69"/>
      <c r="G38" s="70"/>
      <c r="H38" s="69"/>
      <c r="I38" s="69"/>
      <c r="J38" s="69"/>
      <c r="K38" s="69"/>
      <c r="L38" s="69"/>
      <c r="M38" s="71"/>
    </row>
    <row r="39" spans="1:13" ht="16" thickBot="1" x14ac:dyDescent="0.25">
      <c r="A39" s="72" t="s">
        <v>45</v>
      </c>
      <c r="B39" s="73"/>
      <c r="C39" s="73"/>
      <c r="D39" s="73"/>
      <c r="E39" s="73"/>
      <c r="F39" s="73"/>
      <c r="G39" s="73">
        <f>4*8</f>
        <v>32</v>
      </c>
      <c r="H39" s="73">
        <f>3*8</f>
        <v>24</v>
      </c>
      <c r="I39" s="73">
        <v>32</v>
      </c>
      <c r="J39" s="73">
        <v>24</v>
      </c>
      <c r="K39" s="73">
        <v>32</v>
      </c>
      <c r="L39" s="73">
        <v>24</v>
      </c>
      <c r="M39" s="74">
        <f>189-21</f>
        <v>168</v>
      </c>
    </row>
    <row r="40" spans="1:13" ht="22.5" customHeight="1" x14ac:dyDescent="0.2">
      <c r="A40" s="36" t="s">
        <v>47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 spans="1:13" ht="27" customHeight="1" x14ac:dyDescent="0.2">
      <c r="A41" s="28" t="s">
        <v>125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 spans="1:13" ht="27" customHeight="1" x14ac:dyDescent="0.2">
      <c r="A42" s="28" t="s">
        <v>146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 spans="1:13" ht="27" customHeight="1" x14ac:dyDescent="0.2">
      <c r="A43" s="28" t="s">
        <v>147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</sheetData>
  <mergeCells count="8">
    <mergeCell ref="I10:J11"/>
    <mergeCell ref="K10:L11"/>
    <mergeCell ref="M10:M11"/>
    <mergeCell ref="A10:A11"/>
    <mergeCell ref="B10:B11"/>
    <mergeCell ref="C10:D11"/>
    <mergeCell ref="E10:F11"/>
    <mergeCell ref="G10:H11"/>
  </mergeCells>
  <pageMargins left="0.23622047244094491" right="0.23622047244094491" top="0.15748031496062992" bottom="0.15748031496062992" header="0.31496062992125984" footer="0.31496062992125984"/>
  <pageSetup paperSize="9" scale="6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9D0D-1009-40FC-9DF8-51A9D04E2B61}">
  <sheetPr>
    <pageSetUpPr fitToPage="1"/>
  </sheetPr>
  <dimension ref="A1:M43"/>
  <sheetViews>
    <sheetView showGridLines="0" topLeftCell="A6" zoomScale="151" zoomScaleNormal="151" workbookViewId="0">
      <selection activeCell="C17" sqref="C17"/>
    </sheetView>
  </sheetViews>
  <sheetFormatPr baseColWidth="10" defaultColWidth="11.33203125" defaultRowHeight="15" x14ac:dyDescent="0.2"/>
  <cols>
    <col min="1" max="1" width="30.6640625" customWidth="1"/>
    <col min="2" max="3" width="10.33203125" customWidth="1"/>
    <col min="4" max="4" width="12.83203125" customWidth="1"/>
    <col min="5" max="12" width="10.33203125" customWidth="1"/>
    <col min="13" max="13" width="14.33203125" customWidth="1"/>
  </cols>
  <sheetData>
    <row r="1" spans="1:13" x14ac:dyDescent="0.2">
      <c r="A1" s="1" t="s">
        <v>0</v>
      </c>
    </row>
    <row r="3" spans="1:13" x14ac:dyDescent="0.2">
      <c r="A3" s="66" t="s">
        <v>60</v>
      </c>
      <c r="E3" t="s">
        <v>52</v>
      </c>
      <c r="G3" s="2"/>
    </row>
    <row r="4" spans="1:13" x14ac:dyDescent="0.2">
      <c r="A4" s="66" t="s">
        <v>105</v>
      </c>
      <c r="E4" s="3" t="s">
        <v>7</v>
      </c>
      <c r="G4" s="2"/>
      <c r="H4" s="37" t="s">
        <v>53</v>
      </c>
      <c r="I4" s="37"/>
    </row>
    <row r="5" spans="1:13" x14ac:dyDescent="0.2">
      <c r="A5" s="38" t="s">
        <v>58</v>
      </c>
      <c r="G5" s="2"/>
      <c r="H5" s="37" t="s">
        <v>54</v>
      </c>
      <c r="I5" s="37"/>
    </row>
    <row r="6" spans="1:13" x14ac:dyDescent="0.2">
      <c r="A6" s="38" t="s">
        <v>59</v>
      </c>
      <c r="B6" s="1"/>
      <c r="G6" s="2"/>
      <c r="H6" s="37" t="s">
        <v>55</v>
      </c>
      <c r="I6" s="37"/>
    </row>
    <row r="7" spans="1:13" x14ac:dyDescent="0.2">
      <c r="A7" s="38" t="s">
        <v>57</v>
      </c>
      <c r="B7" s="1"/>
      <c r="E7" t="s">
        <v>15</v>
      </c>
      <c r="G7" s="2"/>
      <c r="H7" s="37" t="s">
        <v>56</v>
      </c>
      <c r="I7" s="37"/>
    </row>
    <row r="8" spans="1:13" x14ac:dyDescent="0.2">
      <c r="A8" s="66" t="s">
        <v>84</v>
      </c>
      <c r="B8" s="5"/>
      <c r="E8" s="66" t="s">
        <v>87</v>
      </c>
      <c r="G8" s="2"/>
    </row>
    <row r="9" spans="1:13" ht="9" customHeight="1" x14ac:dyDescent="0.2"/>
    <row r="10" spans="1:13" ht="26.5" customHeight="1" x14ac:dyDescent="0.2">
      <c r="A10" s="91" t="s">
        <v>17</v>
      </c>
      <c r="B10" s="91" t="s">
        <v>18</v>
      </c>
      <c r="C10" s="92" t="s">
        <v>122</v>
      </c>
      <c r="D10" s="91"/>
      <c r="E10" s="91" t="s">
        <v>91</v>
      </c>
      <c r="F10" s="91"/>
      <c r="G10" s="87" t="s">
        <v>92</v>
      </c>
      <c r="H10" s="88"/>
      <c r="I10" s="87" t="s">
        <v>93</v>
      </c>
      <c r="J10" s="88"/>
      <c r="K10" s="87" t="s">
        <v>94</v>
      </c>
      <c r="L10" s="88"/>
      <c r="M10" s="91" t="s">
        <v>24</v>
      </c>
    </row>
    <row r="11" spans="1:13" x14ac:dyDescent="0.2">
      <c r="A11" s="91"/>
      <c r="B11" s="91"/>
      <c r="C11" s="91"/>
      <c r="D11" s="91"/>
      <c r="E11" s="91"/>
      <c r="F11" s="91"/>
      <c r="G11" s="89"/>
      <c r="H11" s="90"/>
      <c r="I11" s="89"/>
      <c r="J11" s="90"/>
      <c r="K11" s="89"/>
      <c r="L11" s="90"/>
      <c r="M11" s="91"/>
    </row>
    <row r="12" spans="1:13" x14ac:dyDescent="0.2">
      <c r="A12" s="6"/>
      <c r="B12" s="7"/>
      <c r="C12" s="48"/>
      <c r="D12" s="48"/>
      <c r="E12" s="8" t="s">
        <v>61</v>
      </c>
      <c r="F12" s="8" t="s">
        <v>26</v>
      </c>
      <c r="G12" s="8" t="s">
        <v>61</v>
      </c>
      <c r="H12" s="8" t="s">
        <v>26</v>
      </c>
      <c r="I12" s="8" t="s">
        <v>61</v>
      </c>
      <c r="J12" s="8" t="s">
        <v>26</v>
      </c>
      <c r="K12" s="8" t="s">
        <v>61</v>
      </c>
      <c r="L12" s="8" t="s">
        <v>26</v>
      </c>
      <c r="M12" s="9"/>
    </row>
    <row r="13" spans="1:13" ht="17" thickBot="1" x14ac:dyDescent="0.25">
      <c r="A13" s="32" t="s">
        <v>27</v>
      </c>
      <c r="B13" s="33"/>
      <c r="C13" s="49"/>
      <c r="D13" s="49"/>
      <c r="E13" s="39" t="s">
        <v>28</v>
      </c>
      <c r="F13" s="39" t="s">
        <v>28</v>
      </c>
      <c r="G13" s="39" t="s">
        <v>28</v>
      </c>
      <c r="H13" s="39" t="s">
        <v>28</v>
      </c>
      <c r="I13" s="39" t="s">
        <v>28</v>
      </c>
      <c r="J13" s="39" t="s">
        <v>28</v>
      </c>
      <c r="K13" s="39" t="s">
        <v>28</v>
      </c>
      <c r="L13" s="39" t="s">
        <v>28</v>
      </c>
      <c r="M13" s="75"/>
    </row>
    <row r="14" spans="1:13" ht="18.75" customHeight="1" x14ac:dyDescent="0.2">
      <c r="A14" s="64" t="s">
        <v>63</v>
      </c>
      <c r="B14" s="65" t="s">
        <v>64</v>
      </c>
      <c r="C14" s="46"/>
      <c r="D14" s="46"/>
      <c r="E14" s="46"/>
      <c r="F14" s="46"/>
      <c r="G14" s="46"/>
      <c r="H14" s="46"/>
      <c r="I14" s="46"/>
      <c r="J14" s="46"/>
      <c r="K14" s="46"/>
      <c r="L14" s="50"/>
      <c r="M14" s="76"/>
    </row>
    <row r="15" spans="1:13" ht="16" thickBot="1" x14ac:dyDescent="0.25">
      <c r="A15" s="34" t="s">
        <v>35</v>
      </c>
      <c r="B15" s="7"/>
      <c r="C15" s="51"/>
      <c r="D15" s="51"/>
      <c r="E15" s="51"/>
      <c r="F15" s="52"/>
      <c r="G15" s="51"/>
      <c r="H15" s="52"/>
      <c r="I15" s="51"/>
      <c r="J15" s="51"/>
      <c r="K15" s="51"/>
      <c r="L15" s="53"/>
      <c r="M15" s="77"/>
    </row>
    <row r="16" spans="1:13" ht="18.75" customHeight="1" x14ac:dyDescent="0.2">
      <c r="A16" s="64" t="s">
        <v>66</v>
      </c>
      <c r="B16" s="65" t="s">
        <v>65</v>
      </c>
      <c r="C16" s="46"/>
      <c r="D16" s="46"/>
      <c r="E16" s="41"/>
      <c r="F16" s="41"/>
      <c r="G16" s="41"/>
      <c r="H16" s="41"/>
      <c r="I16" s="41"/>
      <c r="J16" s="41"/>
      <c r="K16" s="41"/>
      <c r="L16" s="59"/>
      <c r="M16" s="77">
        <f>4*7</f>
        <v>28</v>
      </c>
    </row>
    <row r="17" spans="1:13" ht="18" customHeight="1" thickBot="1" x14ac:dyDescent="0.25">
      <c r="A17" s="35" t="s">
        <v>35</v>
      </c>
      <c r="B17" s="40"/>
      <c r="C17" s="54"/>
      <c r="D17" s="54"/>
      <c r="E17" s="44"/>
      <c r="F17" s="44"/>
      <c r="G17" s="44"/>
      <c r="H17" s="44"/>
      <c r="I17" s="44"/>
      <c r="J17" s="44"/>
      <c r="K17" s="44"/>
      <c r="L17" s="61"/>
      <c r="M17" s="77"/>
    </row>
    <row r="18" spans="1:13" ht="18.75" customHeight="1" x14ac:dyDescent="0.2">
      <c r="A18" s="64" t="s">
        <v>67</v>
      </c>
      <c r="B18" s="65" t="s">
        <v>85</v>
      </c>
      <c r="C18" s="46"/>
      <c r="D18" s="46"/>
      <c r="E18" s="41"/>
      <c r="F18" s="41"/>
      <c r="G18" s="41"/>
      <c r="H18" s="41"/>
      <c r="I18" s="41"/>
      <c r="J18" s="41"/>
      <c r="K18" s="41"/>
      <c r="L18" s="59"/>
      <c r="M18" s="77">
        <v>28</v>
      </c>
    </row>
    <row r="19" spans="1:13" ht="16" thickBot="1" x14ac:dyDescent="0.25">
      <c r="A19" s="35" t="s">
        <v>35</v>
      </c>
      <c r="B19" s="40"/>
      <c r="C19" s="54"/>
      <c r="D19" s="54"/>
      <c r="E19" s="44"/>
      <c r="F19" s="44"/>
      <c r="G19" s="44"/>
      <c r="H19" s="44"/>
      <c r="I19" s="44"/>
      <c r="J19" s="44"/>
      <c r="K19" s="44"/>
      <c r="L19" s="61"/>
      <c r="M19" s="77"/>
    </row>
    <row r="20" spans="1:13" ht="18.75" customHeight="1" x14ac:dyDescent="0.2">
      <c r="A20" s="64" t="s">
        <v>68</v>
      </c>
      <c r="B20" s="65" t="s">
        <v>69</v>
      </c>
      <c r="C20" s="46"/>
      <c r="D20" s="46"/>
      <c r="E20" s="41"/>
      <c r="F20" s="41"/>
      <c r="G20" s="41"/>
      <c r="H20" s="41"/>
      <c r="I20" s="41"/>
      <c r="J20" s="41"/>
      <c r="K20" s="41"/>
      <c r="L20" s="59"/>
      <c r="M20" s="77">
        <v>28</v>
      </c>
    </row>
    <row r="21" spans="1:13" ht="16" thickBot="1" x14ac:dyDescent="0.25">
      <c r="A21" s="34" t="s">
        <v>35</v>
      </c>
      <c r="B21" s="7"/>
      <c r="C21" s="47"/>
      <c r="D21" s="47"/>
      <c r="E21" s="45"/>
      <c r="F21" s="45"/>
      <c r="G21" s="45"/>
      <c r="H21" s="45"/>
      <c r="I21" s="45"/>
      <c r="J21" s="45"/>
      <c r="K21" s="45"/>
      <c r="L21" s="62"/>
      <c r="M21" s="77"/>
    </row>
    <row r="22" spans="1:13" ht="18.75" customHeight="1" x14ac:dyDescent="0.2">
      <c r="A22" s="64" t="s">
        <v>70</v>
      </c>
      <c r="B22" s="65" t="s">
        <v>86</v>
      </c>
      <c r="C22" s="46"/>
      <c r="D22" s="46"/>
      <c r="E22" s="41"/>
      <c r="F22" s="41"/>
      <c r="G22" s="41"/>
      <c r="H22" s="41"/>
      <c r="I22" s="41"/>
      <c r="J22" s="41"/>
      <c r="K22" s="41"/>
      <c r="L22" s="59"/>
      <c r="M22" s="77">
        <v>28</v>
      </c>
    </row>
    <row r="23" spans="1:13" ht="16" thickBot="1" x14ac:dyDescent="0.25">
      <c r="A23" s="34" t="s">
        <v>35</v>
      </c>
      <c r="B23" s="7"/>
      <c r="C23" s="47"/>
      <c r="D23" s="47"/>
      <c r="E23" s="45"/>
      <c r="F23" s="45"/>
      <c r="G23" s="45"/>
      <c r="H23" s="45"/>
      <c r="I23" s="45"/>
      <c r="J23" s="45"/>
      <c r="K23" s="45"/>
      <c r="L23" s="62"/>
      <c r="M23" s="77"/>
    </row>
    <row r="24" spans="1:13" ht="18.75" customHeight="1" x14ac:dyDescent="0.2">
      <c r="A24" s="64" t="s">
        <v>71</v>
      </c>
      <c r="B24" s="65" t="s">
        <v>72</v>
      </c>
      <c r="C24" s="46"/>
      <c r="D24" s="46"/>
      <c r="E24" s="41"/>
      <c r="F24" s="41"/>
      <c r="G24" s="41"/>
      <c r="H24" s="41"/>
      <c r="I24" s="41"/>
      <c r="J24" s="41"/>
      <c r="K24" s="41"/>
      <c r="L24" s="59"/>
      <c r="M24" s="77">
        <v>28</v>
      </c>
    </row>
    <row r="25" spans="1:13" ht="16" thickBot="1" x14ac:dyDescent="0.25">
      <c r="A25" s="34" t="s">
        <v>35</v>
      </c>
      <c r="B25" s="7"/>
      <c r="C25" s="47"/>
      <c r="D25" s="47"/>
      <c r="E25" s="45"/>
      <c r="F25" s="45"/>
      <c r="G25" s="45"/>
      <c r="H25" s="45"/>
      <c r="I25" s="45"/>
      <c r="J25" s="45"/>
      <c r="K25" s="45"/>
      <c r="L25" s="62"/>
      <c r="M25" s="77"/>
    </row>
    <row r="26" spans="1:13" ht="18.75" customHeight="1" x14ac:dyDescent="0.2">
      <c r="A26" s="64" t="s">
        <v>73</v>
      </c>
      <c r="B26" s="65" t="s">
        <v>74</v>
      </c>
      <c r="C26" s="46"/>
      <c r="D26" s="46"/>
      <c r="E26" s="41"/>
      <c r="F26" s="41"/>
      <c r="G26" s="41"/>
      <c r="H26" s="41"/>
      <c r="I26" s="41"/>
      <c r="J26" s="41"/>
      <c r="K26" s="41"/>
      <c r="L26" s="59"/>
      <c r="M26" s="77">
        <v>28</v>
      </c>
    </row>
    <row r="27" spans="1:13" ht="16" thickBot="1" x14ac:dyDescent="0.25">
      <c r="A27" s="34" t="s">
        <v>35</v>
      </c>
      <c r="B27" s="7"/>
      <c r="C27" s="47"/>
      <c r="D27" s="47"/>
      <c r="E27" s="45"/>
      <c r="F27" s="45"/>
      <c r="G27" s="45"/>
      <c r="H27" s="45"/>
      <c r="I27" s="45"/>
      <c r="J27" s="45"/>
      <c r="K27" s="45"/>
      <c r="L27" s="62"/>
      <c r="M27" s="77"/>
    </row>
    <row r="28" spans="1:13" ht="20.25" customHeight="1" x14ac:dyDescent="0.2">
      <c r="A28" s="64" t="s">
        <v>75</v>
      </c>
      <c r="B28" s="65" t="s">
        <v>76</v>
      </c>
      <c r="C28" s="46"/>
      <c r="D28" s="46"/>
      <c r="E28" s="46"/>
      <c r="F28" s="46"/>
      <c r="G28" s="46"/>
      <c r="H28" s="46"/>
      <c r="I28" s="46"/>
      <c r="J28" s="46"/>
      <c r="K28" s="46"/>
      <c r="L28" s="50"/>
      <c r="M28" s="77"/>
    </row>
    <row r="29" spans="1:13" ht="16" thickBot="1" x14ac:dyDescent="0.25">
      <c r="A29" s="35" t="s">
        <v>35</v>
      </c>
      <c r="B29" s="40"/>
      <c r="C29" s="54"/>
      <c r="D29" s="54"/>
      <c r="E29" s="54"/>
      <c r="F29" s="54"/>
      <c r="G29" s="57"/>
      <c r="H29" s="54"/>
      <c r="I29" s="54"/>
      <c r="J29" s="54"/>
      <c r="K29" s="54"/>
      <c r="L29" s="55"/>
      <c r="M29" s="78"/>
    </row>
    <row r="30" spans="1:13" ht="18.75" customHeight="1" x14ac:dyDescent="0.2">
      <c r="A30" s="64" t="s">
        <v>77</v>
      </c>
      <c r="B30" s="65" t="s">
        <v>78</v>
      </c>
      <c r="C30" s="46"/>
      <c r="D30" s="46"/>
      <c r="E30" s="41"/>
      <c r="F30" s="41"/>
      <c r="G30" s="41"/>
      <c r="H30" s="41"/>
      <c r="I30" s="41"/>
      <c r="J30" s="41"/>
      <c r="K30" s="41"/>
      <c r="L30" s="59"/>
      <c r="M30" s="77">
        <v>28</v>
      </c>
    </row>
    <row r="31" spans="1:13" ht="16" thickBot="1" x14ac:dyDescent="0.25">
      <c r="A31" s="34" t="s">
        <v>35</v>
      </c>
      <c r="B31" s="7"/>
      <c r="C31" s="47"/>
      <c r="D31" s="47"/>
      <c r="E31" s="45"/>
      <c r="F31" s="45"/>
      <c r="G31" s="45"/>
      <c r="H31" s="45"/>
      <c r="I31" s="45"/>
      <c r="J31" s="45"/>
      <c r="K31" s="45"/>
      <c r="L31" s="62"/>
      <c r="M31" s="77"/>
    </row>
    <row r="32" spans="1:13" ht="18.75" customHeight="1" x14ac:dyDescent="0.2">
      <c r="A32" s="64" t="s">
        <v>79</v>
      </c>
      <c r="B32" s="65" t="s">
        <v>80</v>
      </c>
      <c r="C32" s="46"/>
      <c r="D32" s="46"/>
      <c r="E32" s="41"/>
      <c r="F32" s="41"/>
      <c r="G32" s="41"/>
      <c r="H32" s="41"/>
      <c r="I32" s="41"/>
      <c r="J32" s="41"/>
      <c r="K32" s="41"/>
      <c r="L32" s="59"/>
      <c r="M32" s="77">
        <v>28</v>
      </c>
    </row>
    <row r="33" spans="1:13" ht="16" thickBot="1" x14ac:dyDescent="0.25">
      <c r="A33" s="34" t="s">
        <v>35</v>
      </c>
      <c r="B33" s="7"/>
      <c r="C33" s="47"/>
      <c r="D33" s="47"/>
      <c r="E33" s="45"/>
      <c r="F33" s="45"/>
      <c r="G33" s="45"/>
      <c r="H33" s="45"/>
      <c r="I33" s="45"/>
      <c r="J33" s="45"/>
      <c r="K33" s="45"/>
      <c r="L33" s="62"/>
      <c r="M33" s="77"/>
    </row>
    <row r="34" spans="1:13" ht="20.25" customHeight="1" x14ac:dyDescent="0.2">
      <c r="A34" s="64" t="s">
        <v>81</v>
      </c>
      <c r="B34" s="65" t="s">
        <v>82</v>
      </c>
      <c r="C34" s="46"/>
      <c r="D34" s="46"/>
      <c r="E34" s="46"/>
      <c r="F34" s="46"/>
      <c r="G34" s="46"/>
      <c r="H34" s="46"/>
      <c r="I34" s="46"/>
      <c r="J34" s="46"/>
      <c r="K34" s="46"/>
      <c r="L34" s="50"/>
      <c r="M34" s="77"/>
    </row>
    <row r="35" spans="1:13" ht="16" thickBot="1" x14ac:dyDescent="0.25">
      <c r="A35" s="35" t="s">
        <v>35</v>
      </c>
      <c r="B35" s="40"/>
      <c r="C35" s="54"/>
      <c r="D35" s="54"/>
      <c r="E35" s="54"/>
      <c r="F35" s="54"/>
      <c r="G35" s="57"/>
      <c r="H35" s="54"/>
      <c r="I35" s="54"/>
      <c r="J35" s="54"/>
      <c r="K35" s="54"/>
      <c r="L35" s="55"/>
      <c r="M35" s="78"/>
    </row>
    <row r="36" spans="1:13" ht="20.25" customHeight="1" x14ac:dyDescent="0.2">
      <c r="A36" s="81" t="s">
        <v>119</v>
      </c>
      <c r="B36" s="82" t="s">
        <v>83</v>
      </c>
      <c r="C36" s="46"/>
      <c r="D36" s="46"/>
      <c r="E36" s="41"/>
      <c r="F36" s="41"/>
      <c r="G36" s="41"/>
      <c r="H36" s="41"/>
      <c r="I36" s="41"/>
      <c r="J36" s="41"/>
      <c r="K36" s="41"/>
      <c r="L36" s="59"/>
      <c r="M36" s="77">
        <v>28</v>
      </c>
    </row>
    <row r="37" spans="1:13" ht="16" thickBot="1" x14ac:dyDescent="0.25">
      <c r="A37" s="67" t="s">
        <v>35</v>
      </c>
      <c r="B37" s="18"/>
      <c r="C37" s="51"/>
      <c r="D37" s="51"/>
      <c r="E37" s="42"/>
      <c r="F37" s="42"/>
      <c r="G37" s="80"/>
      <c r="H37" s="42"/>
      <c r="I37" s="42"/>
      <c r="J37" s="42"/>
      <c r="K37" s="42"/>
      <c r="L37" s="60"/>
      <c r="M37" s="79"/>
    </row>
    <row r="38" spans="1:13" x14ac:dyDescent="0.2">
      <c r="A38" s="68"/>
      <c r="B38" s="69"/>
      <c r="C38" s="69"/>
      <c r="D38" s="69"/>
      <c r="E38" s="69"/>
      <c r="F38" s="69"/>
      <c r="G38" s="70"/>
      <c r="H38" s="69"/>
      <c r="I38" s="69"/>
      <c r="J38" s="69"/>
      <c r="K38" s="69"/>
      <c r="L38" s="69"/>
      <c r="M38" s="71"/>
    </row>
    <row r="39" spans="1:13" ht="16" thickBot="1" x14ac:dyDescent="0.25">
      <c r="A39" s="72" t="s">
        <v>45</v>
      </c>
      <c r="B39" s="73"/>
      <c r="C39" s="73"/>
      <c r="D39" s="73"/>
      <c r="E39" s="73">
        <f>9*4</f>
        <v>36</v>
      </c>
      <c r="F39" s="73">
        <f>9*3</f>
        <v>27</v>
      </c>
      <c r="G39" s="73">
        <v>36</v>
      </c>
      <c r="H39" s="73">
        <v>27</v>
      </c>
      <c r="I39" s="73">
        <v>36</v>
      </c>
      <c r="J39" s="73">
        <v>27</v>
      </c>
      <c r="K39" s="73">
        <v>36</v>
      </c>
      <c r="L39" s="73">
        <v>27</v>
      </c>
      <c r="M39" s="74">
        <v>252</v>
      </c>
    </row>
    <row r="40" spans="1:13" ht="22.5" customHeight="1" x14ac:dyDescent="0.2">
      <c r="A40" s="36" t="s">
        <v>47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 spans="1:13" ht="27" customHeight="1" x14ac:dyDescent="0.2">
      <c r="A41" s="28" t="s">
        <v>125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 spans="1:13" ht="27" customHeight="1" x14ac:dyDescent="0.2">
      <c r="A42" s="28" t="s">
        <v>146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 spans="1:13" ht="27" customHeight="1" x14ac:dyDescent="0.2">
      <c r="A43" s="28" t="s">
        <v>147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</sheetData>
  <mergeCells count="8">
    <mergeCell ref="K10:L11"/>
    <mergeCell ref="M10:M11"/>
    <mergeCell ref="A10:A11"/>
    <mergeCell ref="B10:B11"/>
    <mergeCell ref="C10:D11"/>
    <mergeCell ref="E10:F11"/>
    <mergeCell ref="G10:H11"/>
    <mergeCell ref="I10:J11"/>
  </mergeCells>
  <phoneticPr fontId="26" type="noConversion"/>
  <pageMargins left="0.23622047244094491" right="0.23622047244094491" top="0.15748031496062992" bottom="0.15748031496062992" header="0.31496062992125984" footer="0.31496062992125984"/>
  <pageSetup paperSize="9" scale="6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DFC85-FCC6-4330-871F-F259A30A126A}">
  <sheetPr>
    <pageSetUpPr fitToPage="1"/>
  </sheetPr>
  <dimension ref="A1:M43"/>
  <sheetViews>
    <sheetView showGridLines="0" topLeftCell="A20" zoomScale="151" zoomScaleNormal="151" workbookViewId="0">
      <selection activeCell="A42" sqref="A42:XFD43"/>
    </sheetView>
  </sheetViews>
  <sheetFormatPr baseColWidth="10" defaultColWidth="11.33203125" defaultRowHeight="15" x14ac:dyDescent="0.2"/>
  <cols>
    <col min="1" max="1" width="30.6640625" customWidth="1"/>
    <col min="2" max="3" width="10.33203125" customWidth="1"/>
    <col min="4" max="4" width="12.83203125" customWidth="1"/>
    <col min="5" max="12" width="10.33203125" customWidth="1"/>
    <col min="13" max="13" width="14.33203125" customWidth="1"/>
  </cols>
  <sheetData>
    <row r="1" spans="1:13" x14ac:dyDescent="0.2">
      <c r="A1" s="1" t="s">
        <v>0</v>
      </c>
    </row>
    <row r="3" spans="1:13" x14ac:dyDescent="0.2">
      <c r="A3" s="66" t="s">
        <v>60</v>
      </c>
      <c r="E3" t="s">
        <v>52</v>
      </c>
      <c r="G3" s="2"/>
    </row>
    <row r="4" spans="1:13" x14ac:dyDescent="0.2">
      <c r="A4" s="66" t="s">
        <v>105</v>
      </c>
      <c r="E4" s="3" t="s">
        <v>7</v>
      </c>
      <c r="G4" s="2"/>
      <c r="H4" s="37" t="s">
        <v>53</v>
      </c>
      <c r="I4" s="37"/>
    </row>
    <row r="5" spans="1:13" x14ac:dyDescent="0.2">
      <c r="A5" s="38" t="s">
        <v>58</v>
      </c>
      <c r="G5" s="2"/>
      <c r="H5" s="37" t="s">
        <v>54</v>
      </c>
      <c r="I5" s="37"/>
    </row>
    <row r="6" spans="1:13" x14ac:dyDescent="0.2">
      <c r="A6" s="38" t="s">
        <v>59</v>
      </c>
      <c r="B6" s="1"/>
      <c r="G6" s="2"/>
      <c r="H6" s="37" t="s">
        <v>55</v>
      </c>
      <c r="I6" s="37"/>
    </row>
    <row r="7" spans="1:13" x14ac:dyDescent="0.2">
      <c r="A7" s="38" t="s">
        <v>57</v>
      </c>
      <c r="B7" s="1"/>
      <c r="E7" t="s">
        <v>15</v>
      </c>
      <c r="G7" s="2"/>
      <c r="H7" s="37" t="s">
        <v>56</v>
      </c>
      <c r="I7" s="37"/>
    </row>
    <row r="8" spans="1:13" x14ac:dyDescent="0.2">
      <c r="A8" s="66" t="s">
        <v>84</v>
      </c>
      <c r="B8" s="5"/>
      <c r="E8" s="66" t="s">
        <v>87</v>
      </c>
      <c r="G8" s="2"/>
    </row>
    <row r="9" spans="1:13" ht="9" customHeight="1" x14ac:dyDescent="0.2"/>
    <row r="10" spans="1:13" ht="26.5" customHeight="1" x14ac:dyDescent="0.2">
      <c r="A10" s="91" t="s">
        <v>17</v>
      </c>
      <c r="B10" s="91" t="s">
        <v>18</v>
      </c>
      <c r="C10" s="92" t="s">
        <v>123</v>
      </c>
      <c r="D10" s="91"/>
      <c r="E10" s="91" t="s">
        <v>124</v>
      </c>
      <c r="F10" s="91"/>
      <c r="G10" s="87" t="s">
        <v>95</v>
      </c>
      <c r="H10" s="88"/>
      <c r="I10" s="87" t="s">
        <v>96</v>
      </c>
      <c r="J10" s="88"/>
      <c r="K10" s="87" t="s">
        <v>97</v>
      </c>
      <c r="L10" s="88"/>
      <c r="M10" s="91" t="s">
        <v>24</v>
      </c>
    </row>
    <row r="11" spans="1:13" x14ac:dyDescent="0.2">
      <c r="A11" s="91"/>
      <c r="B11" s="91"/>
      <c r="C11" s="91"/>
      <c r="D11" s="91"/>
      <c r="E11" s="91"/>
      <c r="F11" s="91"/>
      <c r="G11" s="89"/>
      <c r="H11" s="90"/>
      <c r="I11" s="89"/>
      <c r="J11" s="90"/>
      <c r="K11" s="89"/>
      <c r="L11" s="90"/>
      <c r="M11" s="91"/>
    </row>
    <row r="12" spans="1:13" x14ac:dyDescent="0.2">
      <c r="A12" s="6"/>
      <c r="B12" s="7"/>
      <c r="C12" s="8" t="s">
        <v>61</v>
      </c>
      <c r="D12" s="8" t="s">
        <v>126</v>
      </c>
      <c r="E12" s="58" t="s">
        <v>127</v>
      </c>
      <c r="F12" s="58" t="s">
        <v>128</v>
      </c>
      <c r="G12" s="8" t="s">
        <v>61</v>
      </c>
      <c r="H12" s="8" t="s">
        <v>26</v>
      </c>
      <c r="I12" s="8" t="s">
        <v>61</v>
      </c>
      <c r="J12" s="8" t="s">
        <v>26</v>
      </c>
      <c r="K12" s="8" t="s">
        <v>61</v>
      </c>
      <c r="L12" s="8" t="s">
        <v>26</v>
      </c>
      <c r="M12" s="9"/>
    </row>
    <row r="13" spans="1:13" ht="17" thickBot="1" x14ac:dyDescent="0.25">
      <c r="A13" s="32" t="s">
        <v>27</v>
      </c>
      <c r="B13" s="33"/>
      <c r="C13" s="39" t="s">
        <v>28</v>
      </c>
      <c r="D13" s="39" t="s">
        <v>28</v>
      </c>
      <c r="E13" s="83" t="s">
        <v>29</v>
      </c>
      <c r="F13" s="83" t="s">
        <v>29</v>
      </c>
      <c r="G13" s="83" t="s">
        <v>29</v>
      </c>
      <c r="H13" s="83" t="s">
        <v>29</v>
      </c>
      <c r="I13" s="83" t="s">
        <v>29</v>
      </c>
      <c r="J13" s="83" t="s">
        <v>29</v>
      </c>
      <c r="K13" s="83" t="s">
        <v>129</v>
      </c>
      <c r="L13" s="83" t="s">
        <v>62</v>
      </c>
      <c r="M13" s="75"/>
    </row>
    <row r="14" spans="1:13" ht="18.75" customHeight="1" x14ac:dyDescent="0.2">
      <c r="A14" s="64" t="s">
        <v>63</v>
      </c>
      <c r="B14" s="65" t="s">
        <v>64</v>
      </c>
      <c r="C14" s="46"/>
      <c r="D14" s="46"/>
      <c r="E14" s="41"/>
      <c r="F14" s="41"/>
      <c r="G14" s="41"/>
      <c r="H14" s="41"/>
      <c r="I14" s="41"/>
      <c r="J14" s="41"/>
      <c r="K14" s="41"/>
      <c r="L14" s="59"/>
      <c r="M14" s="76">
        <f>3.5+4+4+3+4+3+2</f>
        <v>23.5</v>
      </c>
    </row>
    <row r="15" spans="1:13" ht="16" thickBot="1" x14ac:dyDescent="0.25">
      <c r="A15" s="34" t="s">
        <v>35</v>
      </c>
      <c r="B15" s="7"/>
      <c r="C15" s="51"/>
      <c r="D15" s="51"/>
      <c r="E15" s="42"/>
      <c r="F15" s="43"/>
      <c r="G15" s="42"/>
      <c r="H15" s="43"/>
      <c r="I15" s="42"/>
      <c r="J15" s="42"/>
      <c r="K15" s="42">
        <v>2</v>
      </c>
      <c r="L15" s="60">
        <v>3</v>
      </c>
      <c r="M15" s="77">
        <v>5</v>
      </c>
    </row>
    <row r="16" spans="1:13" ht="18.75" customHeight="1" x14ac:dyDescent="0.2">
      <c r="A16" s="64" t="s">
        <v>66</v>
      </c>
      <c r="B16" s="65" t="s">
        <v>65</v>
      </c>
      <c r="C16" s="41"/>
      <c r="D16" s="41"/>
      <c r="E16" s="41"/>
      <c r="F16" s="41"/>
      <c r="G16" s="41"/>
      <c r="H16" s="41"/>
      <c r="I16" s="41"/>
      <c r="J16" s="41"/>
      <c r="K16" s="41"/>
      <c r="L16" s="59"/>
      <c r="M16" s="77">
        <f>23.5+6</f>
        <v>29.5</v>
      </c>
    </row>
    <row r="17" spans="1:13" ht="18" customHeight="1" thickBot="1" x14ac:dyDescent="0.25">
      <c r="A17" s="35" t="s">
        <v>35</v>
      </c>
      <c r="B17" s="40"/>
      <c r="C17" s="44"/>
      <c r="D17" s="44"/>
      <c r="E17" s="44"/>
      <c r="F17" s="44"/>
      <c r="G17" s="44"/>
      <c r="H17" s="44"/>
      <c r="I17" s="44"/>
      <c r="J17" s="44"/>
      <c r="K17" s="44">
        <v>2</v>
      </c>
      <c r="L17" s="61">
        <v>3</v>
      </c>
      <c r="M17" s="77">
        <v>5</v>
      </c>
    </row>
    <row r="18" spans="1:13" ht="18.75" customHeight="1" x14ac:dyDescent="0.2">
      <c r="A18" s="64" t="s">
        <v>67</v>
      </c>
      <c r="B18" s="65" t="s">
        <v>85</v>
      </c>
      <c r="C18" s="41"/>
      <c r="D18" s="41"/>
      <c r="E18" s="41"/>
      <c r="F18" s="41"/>
      <c r="G18" s="41"/>
      <c r="H18" s="41"/>
      <c r="I18" s="41"/>
      <c r="J18" s="41"/>
      <c r="K18" s="41"/>
      <c r="L18" s="59"/>
      <c r="M18" s="77">
        <v>29.5</v>
      </c>
    </row>
    <row r="19" spans="1:13" ht="16" thickBot="1" x14ac:dyDescent="0.25">
      <c r="A19" s="35" t="s">
        <v>35</v>
      </c>
      <c r="B19" s="40"/>
      <c r="C19" s="44"/>
      <c r="D19" s="44"/>
      <c r="E19" s="44"/>
      <c r="F19" s="44"/>
      <c r="G19" s="44"/>
      <c r="H19" s="44"/>
      <c r="I19" s="44"/>
      <c r="J19" s="44"/>
      <c r="K19" s="44">
        <v>2</v>
      </c>
      <c r="L19" s="61">
        <v>3</v>
      </c>
      <c r="M19" s="77">
        <v>5</v>
      </c>
    </row>
    <row r="20" spans="1:13" ht="18.75" customHeight="1" x14ac:dyDescent="0.2">
      <c r="A20" s="64" t="s">
        <v>68</v>
      </c>
      <c r="B20" s="65" t="s">
        <v>69</v>
      </c>
      <c r="C20" s="41"/>
      <c r="D20" s="41"/>
      <c r="E20" s="41"/>
      <c r="F20" s="41"/>
      <c r="G20" s="41"/>
      <c r="H20" s="41"/>
      <c r="I20" s="41"/>
      <c r="J20" s="41"/>
      <c r="K20" s="41"/>
      <c r="L20" s="59"/>
      <c r="M20" s="77">
        <v>29.5</v>
      </c>
    </row>
    <row r="21" spans="1:13" ht="16" thickBot="1" x14ac:dyDescent="0.25">
      <c r="A21" s="34" t="s">
        <v>35</v>
      </c>
      <c r="B21" s="7"/>
      <c r="C21" s="45"/>
      <c r="D21" s="45"/>
      <c r="E21" s="45"/>
      <c r="F21" s="45"/>
      <c r="G21" s="45"/>
      <c r="H21" s="45"/>
      <c r="I21" s="45"/>
      <c r="J21" s="45"/>
      <c r="K21" s="45">
        <v>2</v>
      </c>
      <c r="L21" s="62">
        <v>3</v>
      </c>
      <c r="M21" s="77">
        <v>5</v>
      </c>
    </row>
    <row r="22" spans="1:13" ht="18.75" customHeight="1" x14ac:dyDescent="0.2">
      <c r="A22" s="64" t="s">
        <v>70</v>
      </c>
      <c r="B22" s="65" t="s">
        <v>86</v>
      </c>
      <c r="C22" s="41"/>
      <c r="D22" s="41"/>
      <c r="E22" s="41"/>
      <c r="F22" s="41"/>
      <c r="G22" s="41"/>
      <c r="H22" s="41"/>
      <c r="I22" s="41"/>
      <c r="J22" s="41"/>
      <c r="K22" s="41"/>
      <c r="L22" s="59"/>
      <c r="M22" s="77">
        <v>29.5</v>
      </c>
    </row>
    <row r="23" spans="1:13" ht="16" thickBot="1" x14ac:dyDescent="0.25">
      <c r="A23" s="34" t="s">
        <v>35</v>
      </c>
      <c r="B23" s="7"/>
      <c r="C23" s="45"/>
      <c r="D23" s="45"/>
      <c r="E23" s="45"/>
      <c r="F23" s="45"/>
      <c r="G23" s="45"/>
      <c r="H23" s="45"/>
      <c r="I23" s="45"/>
      <c r="J23" s="45"/>
      <c r="K23" s="45">
        <v>2</v>
      </c>
      <c r="L23" s="62">
        <v>3</v>
      </c>
      <c r="M23" s="77">
        <v>5</v>
      </c>
    </row>
    <row r="24" spans="1:13" ht="18.75" customHeight="1" x14ac:dyDescent="0.2">
      <c r="A24" s="64" t="s">
        <v>71</v>
      </c>
      <c r="B24" s="65" t="s">
        <v>72</v>
      </c>
      <c r="C24" s="41"/>
      <c r="D24" s="41"/>
      <c r="E24" s="41"/>
      <c r="F24" s="41"/>
      <c r="G24" s="41"/>
      <c r="H24" s="41"/>
      <c r="I24" s="41"/>
      <c r="J24" s="41"/>
      <c r="K24" s="41"/>
      <c r="L24" s="59"/>
      <c r="M24" s="77">
        <v>29.5</v>
      </c>
    </row>
    <row r="25" spans="1:13" ht="16" thickBot="1" x14ac:dyDescent="0.25">
      <c r="A25" s="34" t="s">
        <v>35</v>
      </c>
      <c r="B25" s="7"/>
      <c r="C25" s="45"/>
      <c r="D25" s="45"/>
      <c r="E25" s="45"/>
      <c r="F25" s="45"/>
      <c r="G25" s="45"/>
      <c r="H25" s="45"/>
      <c r="I25" s="45"/>
      <c r="J25" s="45"/>
      <c r="K25" s="45">
        <v>2</v>
      </c>
      <c r="L25" s="62">
        <v>3</v>
      </c>
      <c r="M25" s="77">
        <v>5</v>
      </c>
    </row>
    <row r="26" spans="1:13" ht="18.75" customHeight="1" x14ac:dyDescent="0.2">
      <c r="A26" s="64" t="s">
        <v>73</v>
      </c>
      <c r="B26" s="65" t="s">
        <v>74</v>
      </c>
      <c r="C26" s="41"/>
      <c r="D26" s="41"/>
      <c r="E26" s="41"/>
      <c r="F26" s="41"/>
      <c r="G26" s="41"/>
      <c r="H26" s="41"/>
      <c r="I26" s="41"/>
      <c r="J26" s="41"/>
      <c r="K26" s="41"/>
      <c r="L26" s="59"/>
      <c r="M26" s="77">
        <v>29.5</v>
      </c>
    </row>
    <row r="27" spans="1:13" ht="16" thickBot="1" x14ac:dyDescent="0.25">
      <c r="A27" s="34" t="s">
        <v>35</v>
      </c>
      <c r="B27" s="7"/>
      <c r="C27" s="45"/>
      <c r="D27" s="45"/>
      <c r="E27" s="45"/>
      <c r="F27" s="45"/>
      <c r="G27" s="45"/>
      <c r="H27" s="45"/>
      <c r="I27" s="45"/>
      <c r="J27" s="45"/>
      <c r="K27" s="45">
        <v>2</v>
      </c>
      <c r="L27" s="62">
        <v>3</v>
      </c>
      <c r="M27" s="77">
        <v>5</v>
      </c>
    </row>
    <row r="28" spans="1:13" ht="20.25" customHeight="1" x14ac:dyDescent="0.2">
      <c r="A28" s="64" t="s">
        <v>75</v>
      </c>
      <c r="B28" s="65" t="s">
        <v>76</v>
      </c>
      <c r="C28" s="46"/>
      <c r="D28" s="46"/>
      <c r="E28" s="41"/>
      <c r="F28" s="41"/>
      <c r="G28" s="41"/>
      <c r="H28" s="41"/>
      <c r="I28" s="41"/>
      <c r="J28" s="41"/>
      <c r="K28" s="41"/>
      <c r="L28" s="59"/>
      <c r="M28" s="77">
        <v>23.5</v>
      </c>
    </row>
    <row r="29" spans="1:13" ht="16" thickBot="1" x14ac:dyDescent="0.25">
      <c r="A29" s="35" t="s">
        <v>35</v>
      </c>
      <c r="B29" s="40"/>
      <c r="C29" s="54"/>
      <c r="D29" s="54"/>
      <c r="E29" s="44"/>
      <c r="F29" s="44"/>
      <c r="G29" s="63"/>
      <c r="H29" s="44"/>
      <c r="I29" s="44"/>
      <c r="J29" s="44"/>
      <c r="K29" s="44">
        <v>2</v>
      </c>
      <c r="L29" s="61">
        <v>3</v>
      </c>
      <c r="M29" s="78">
        <v>5</v>
      </c>
    </row>
    <row r="30" spans="1:13" ht="18.75" customHeight="1" x14ac:dyDescent="0.2">
      <c r="A30" s="64" t="s">
        <v>77</v>
      </c>
      <c r="B30" s="65" t="s">
        <v>78</v>
      </c>
      <c r="C30" s="41"/>
      <c r="D30" s="41"/>
      <c r="E30" s="41"/>
      <c r="F30" s="41"/>
      <c r="G30" s="41"/>
      <c r="H30" s="41"/>
      <c r="I30" s="41"/>
      <c r="J30" s="41"/>
      <c r="K30" s="41"/>
      <c r="L30" s="59"/>
      <c r="M30" s="77">
        <v>29.5</v>
      </c>
    </row>
    <row r="31" spans="1:13" ht="16" thickBot="1" x14ac:dyDescent="0.25">
      <c r="A31" s="34" t="s">
        <v>35</v>
      </c>
      <c r="B31" s="7"/>
      <c r="C31" s="45"/>
      <c r="D31" s="45"/>
      <c r="E31" s="45"/>
      <c r="F31" s="45"/>
      <c r="G31" s="45"/>
      <c r="H31" s="45"/>
      <c r="I31" s="45"/>
      <c r="J31" s="45"/>
      <c r="K31" s="45">
        <v>2</v>
      </c>
      <c r="L31" s="62">
        <v>3</v>
      </c>
      <c r="M31" s="77">
        <v>5</v>
      </c>
    </row>
    <row r="32" spans="1:13" ht="18.75" customHeight="1" x14ac:dyDescent="0.2">
      <c r="A32" s="64" t="s">
        <v>79</v>
      </c>
      <c r="B32" s="65" t="s">
        <v>80</v>
      </c>
      <c r="C32" s="41"/>
      <c r="D32" s="41"/>
      <c r="E32" s="41"/>
      <c r="F32" s="41"/>
      <c r="G32" s="41"/>
      <c r="H32" s="41"/>
      <c r="I32" s="41"/>
      <c r="J32" s="41"/>
      <c r="K32" s="41"/>
      <c r="L32" s="59"/>
      <c r="M32" s="77">
        <v>29.5</v>
      </c>
    </row>
    <row r="33" spans="1:13" ht="16" thickBot="1" x14ac:dyDescent="0.25">
      <c r="A33" s="34" t="s">
        <v>35</v>
      </c>
      <c r="B33" s="7"/>
      <c r="C33" s="45"/>
      <c r="D33" s="45"/>
      <c r="E33" s="45"/>
      <c r="F33" s="45"/>
      <c r="G33" s="45"/>
      <c r="H33" s="45"/>
      <c r="I33" s="45"/>
      <c r="J33" s="45"/>
      <c r="K33" s="45">
        <v>2</v>
      </c>
      <c r="L33" s="62">
        <v>3</v>
      </c>
      <c r="M33" s="77">
        <v>5</v>
      </c>
    </row>
    <row r="34" spans="1:13" ht="20.25" customHeight="1" x14ac:dyDescent="0.2">
      <c r="A34" s="64" t="s">
        <v>81</v>
      </c>
      <c r="B34" s="65" t="s">
        <v>82</v>
      </c>
      <c r="C34" s="46"/>
      <c r="D34" s="46"/>
      <c r="E34" s="41"/>
      <c r="F34" s="41"/>
      <c r="G34" s="41"/>
      <c r="H34" s="41"/>
      <c r="I34" s="41"/>
      <c r="J34" s="41"/>
      <c r="K34" s="41"/>
      <c r="L34" s="59"/>
      <c r="M34" s="77">
        <v>23.5</v>
      </c>
    </row>
    <row r="35" spans="1:13" ht="16" thickBot="1" x14ac:dyDescent="0.25">
      <c r="A35" s="35" t="s">
        <v>35</v>
      </c>
      <c r="B35" s="40"/>
      <c r="C35" s="54"/>
      <c r="D35" s="54"/>
      <c r="E35" s="44"/>
      <c r="F35" s="44"/>
      <c r="G35" s="63"/>
      <c r="H35" s="44"/>
      <c r="I35" s="44"/>
      <c r="J35" s="44"/>
      <c r="K35" s="44">
        <v>2</v>
      </c>
      <c r="L35" s="61">
        <v>3</v>
      </c>
      <c r="M35" s="78">
        <v>5</v>
      </c>
    </row>
    <row r="36" spans="1:13" ht="20.25" customHeight="1" x14ac:dyDescent="0.2">
      <c r="A36" s="81" t="s">
        <v>119</v>
      </c>
      <c r="B36" s="82" t="s">
        <v>83</v>
      </c>
      <c r="C36" s="41"/>
      <c r="D36" s="41"/>
      <c r="E36" s="41"/>
      <c r="F36" s="41"/>
      <c r="G36" s="41"/>
      <c r="H36" s="41"/>
      <c r="I36" s="41"/>
      <c r="J36" s="41"/>
      <c r="K36" s="41"/>
      <c r="L36" s="59"/>
      <c r="M36" s="77">
        <v>29.5</v>
      </c>
    </row>
    <row r="37" spans="1:13" ht="16" thickBot="1" x14ac:dyDescent="0.25">
      <c r="A37" s="67" t="s">
        <v>35</v>
      </c>
      <c r="B37" s="18"/>
      <c r="C37" s="42"/>
      <c r="D37" s="42"/>
      <c r="E37" s="42"/>
      <c r="F37" s="42"/>
      <c r="G37" s="80"/>
      <c r="H37" s="42"/>
      <c r="I37" s="42"/>
      <c r="J37" s="42"/>
      <c r="K37" s="42">
        <v>2</v>
      </c>
      <c r="L37" s="60">
        <v>3</v>
      </c>
      <c r="M37" s="79">
        <v>5</v>
      </c>
    </row>
    <row r="38" spans="1:13" x14ac:dyDescent="0.2">
      <c r="A38" s="68"/>
      <c r="B38" s="69"/>
      <c r="C38" s="69"/>
      <c r="D38" s="69"/>
      <c r="E38" s="69"/>
      <c r="F38" s="69"/>
      <c r="G38" s="70"/>
      <c r="H38" s="69"/>
      <c r="I38" s="69"/>
      <c r="J38" s="69"/>
      <c r="K38" s="69"/>
      <c r="L38" s="69"/>
      <c r="M38" s="71"/>
    </row>
    <row r="39" spans="1:13" ht="16" thickBot="1" x14ac:dyDescent="0.25">
      <c r="A39" s="72" t="s">
        <v>45</v>
      </c>
      <c r="B39" s="73"/>
      <c r="C39" s="73">
        <f>9*4</f>
        <v>36</v>
      </c>
      <c r="D39" s="73">
        <f>9*2</f>
        <v>18</v>
      </c>
      <c r="E39" s="73">
        <f>3.5*12</f>
        <v>42</v>
      </c>
      <c r="F39" s="73">
        <f>4*12</f>
        <v>48</v>
      </c>
      <c r="G39" s="73">
        <f>12*4</f>
        <v>48</v>
      </c>
      <c r="H39" s="73">
        <f>12*3</f>
        <v>36</v>
      </c>
      <c r="I39" s="73">
        <v>48</v>
      </c>
      <c r="J39" s="73">
        <v>36</v>
      </c>
      <c r="K39" s="73">
        <v>48</v>
      </c>
      <c r="L39" s="73">
        <v>36</v>
      </c>
      <c r="M39" s="74">
        <v>396</v>
      </c>
    </row>
    <row r="40" spans="1:13" ht="22.5" customHeight="1" x14ac:dyDescent="0.2">
      <c r="A40" s="36" t="s">
        <v>47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 spans="1:13" ht="27" customHeight="1" x14ac:dyDescent="0.2">
      <c r="A41" s="28" t="s">
        <v>125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 spans="1:13" ht="27" customHeight="1" x14ac:dyDescent="0.2">
      <c r="A42" s="28" t="s">
        <v>146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 spans="1:13" ht="27" customHeight="1" x14ac:dyDescent="0.2">
      <c r="A43" s="28" t="s">
        <v>147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</sheetData>
  <mergeCells count="8">
    <mergeCell ref="K10:L11"/>
    <mergeCell ref="M10:M11"/>
    <mergeCell ref="A10:A11"/>
    <mergeCell ref="B10:B11"/>
    <mergeCell ref="C10:D11"/>
    <mergeCell ref="E10:F11"/>
    <mergeCell ref="G10:H11"/>
    <mergeCell ref="I10:J11"/>
  </mergeCells>
  <pageMargins left="0.23622047244094491" right="0.23622047244094491" top="0.15748031496062992" bottom="0.15748031496062992" header="0.31496062992125984" footer="0.31496062992125984"/>
  <pageSetup paperSize="9" scale="6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F649-0D8B-4090-A87C-892270D3489C}">
  <sheetPr>
    <pageSetUpPr fitToPage="1"/>
  </sheetPr>
  <dimension ref="A1:M43"/>
  <sheetViews>
    <sheetView showGridLines="0" topLeftCell="A18" zoomScale="151" zoomScaleNormal="151" workbookViewId="0">
      <selection activeCell="A42" sqref="A42:XFD43"/>
    </sheetView>
  </sheetViews>
  <sheetFormatPr baseColWidth="10" defaultColWidth="11.33203125" defaultRowHeight="15" x14ac:dyDescent="0.2"/>
  <cols>
    <col min="1" max="1" width="30.6640625" customWidth="1"/>
    <col min="2" max="3" width="10.33203125" customWidth="1"/>
    <col min="4" max="4" width="12.83203125" customWidth="1"/>
    <col min="5" max="12" width="10.33203125" customWidth="1"/>
    <col min="13" max="13" width="14.33203125" customWidth="1"/>
  </cols>
  <sheetData>
    <row r="1" spans="1:13" x14ac:dyDescent="0.2">
      <c r="A1" s="1" t="s">
        <v>0</v>
      </c>
    </row>
    <row r="3" spans="1:13" x14ac:dyDescent="0.2">
      <c r="A3" s="66" t="s">
        <v>60</v>
      </c>
      <c r="E3" t="s">
        <v>52</v>
      </c>
      <c r="G3" s="2"/>
    </row>
    <row r="4" spans="1:13" x14ac:dyDescent="0.2">
      <c r="A4" s="66" t="s">
        <v>105</v>
      </c>
      <c r="E4" s="3" t="s">
        <v>7</v>
      </c>
      <c r="G4" s="2"/>
      <c r="H4" s="37" t="s">
        <v>53</v>
      </c>
      <c r="I4" s="37"/>
    </row>
    <row r="5" spans="1:13" x14ac:dyDescent="0.2">
      <c r="A5" s="38" t="s">
        <v>58</v>
      </c>
      <c r="G5" s="2"/>
      <c r="H5" s="37" t="s">
        <v>54</v>
      </c>
      <c r="I5" s="37"/>
    </row>
    <row r="6" spans="1:13" x14ac:dyDescent="0.2">
      <c r="A6" s="38" t="s">
        <v>59</v>
      </c>
      <c r="B6" s="1"/>
      <c r="G6" s="2"/>
      <c r="H6" s="37" t="s">
        <v>55</v>
      </c>
      <c r="I6" s="37"/>
    </row>
    <row r="7" spans="1:13" x14ac:dyDescent="0.2">
      <c r="A7" s="38" t="s">
        <v>57</v>
      </c>
      <c r="B7" s="1"/>
      <c r="E7" t="s">
        <v>15</v>
      </c>
      <c r="G7" s="2"/>
      <c r="H7" s="37" t="s">
        <v>56</v>
      </c>
      <c r="I7" s="37"/>
    </row>
    <row r="8" spans="1:13" x14ac:dyDescent="0.2">
      <c r="A8" s="66" t="s">
        <v>84</v>
      </c>
      <c r="B8" s="5"/>
      <c r="E8" s="66" t="s">
        <v>87</v>
      </c>
      <c r="G8" s="2"/>
    </row>
    <row r="9" spans="1:13" ht="9" customHeight="1" x14ac:dyDescent="0.2"/>
    <row r="10" spans="1:13" ht="26.5" customHeight="1" x14ac:dyDescent="0.2">
      <c r="A10" s="91" t="s">
        <v>17</v>
      </c>
      <c r="B10" s="91" t="s">
        <v>18</v>
      </c>
      <c r="C10" s="92" t="s">
        <v>130</v>
      </c>
      <c r="D10" s="91"/>
      <c r="E10" s="91" t="s">
        <v>131</v>
      </c>
      <c r="F10" s="91"/>
      <c r="G10" s="87" t="s">
        <v>98</v>
      </c>
      <c r="H10" s="88"/>
      <c r="I10" s="87" t="s">
        <v>99</v>
      </c>
      <c r="J10" s="88"/>
      <c r="K10" s="87" t="s">
        <v>100</v>
      </c>
      <c r="L10" s="88"/>
      <c r="M10" s="91" t="s">
        <v>24</v>
      </c>
    </row>
    <row r="11" spans="1:13" x14ac:dyDescent="0.2">
      <c r="A11" s="91"/>
      <c r="B11" s="91"/>
      <c r="C11" s="91"/>
      <c r="D11" s="91"/>
      <c r="E11" s="91"/>
      <c r="F11" s="91"/>
      <c r="G11" s="89"/>
      <c r="H11" s="90"/>
      <c r="I11" s="89"/>
      <c r="J11" s="90"/>
      <c r="K11" s="89"/>
      <c r="L11" s="90"/>
      <c r="M11" s="91"/>
    </row>
    <row r="12" spans="1:13" x14ac:dyDescent="0.2">
      <c r="A12" s="6"/>
      <c r="B12" s="7"/>
      <c r="C12" s="8" t="s">
        <v>61</v>
      </c>
      <c r="D12" s="8" t="s">
        <v>26</v>
      </c>
      <c r="E12" s="58" t="s">
        <v>61</v>
      </c>
      <c r="F12" s="58" t="s">
        <v>26</v>
      </c>
      <c r="G12" s="8" t="s">
        <v>61</v>
      </c>
      <c r="H12" s="8" t="s">
        <v>26</v>
      </c>
      <c r="I12" s="8" t="s">
        <v>61</v>
      </c>
      <c r="J12" s="8" t="s">
        <v>26</v>
      </c>
      <c r="K12" s="8" t="s">
        <v>61</v>
      </c>
      <c r="L12" s="8" t="s">
        <v>26</v>
      </c>
      <c r="M12" s="9"/>
    </row>
    <row r="13" spans="1:13" ht="17" thickBot="1" x14ac:dyDescent="0.25">
      <c r="A13" s="32" t="s">
        <v>27</v>
      </c>
      <c r="B13" s="33"/>
      <c r="C13" s="83" t="s">
        <v>29</v>
      </c>
      <c r="D13" s="83" t="s">
        <v>29</v>
      </c>
      <c r="E13" s="83" t="s">
        <v>29</v>
      </c>
      <c r="F13" s="83" t="s">
        <v>29</v>
      </c>
      <c r="G13" s="83" t="s">
        <v>29</v>
      </c>
      <c r="H13" s="83" t="s">
        <v>29</v>
      </c>
      <c r="I13" s="83" t="s">
        <v>29</v>
      </c>
      <c r="J13" s="83" t="s">
        <v>29</v>
      </c>
      <c r="K13" s="83" t="s">
        <v>129</v>
      </c>
      <c r="L13" s="83" t="s">
        <v>62</v>
      </c>
      <c r="M13" s="75"/>
    </row>
    <row r="14" spans="1:13" ht="18.75" customHeight="1" x14ac:dyDescent="0.2">
      <c r="A14" s="64" t="s">
        <v>63</v>
      </c>
      <c r="B14" s="65" t="s">
        <v>64</v>
      </c>
      <c r="C14" s="41"/>
      <c r="D14" s="41"/>
      <c r="E14" s="41"/>
      <c r="F14" s="41"/>
      <c r="G14" s="41"/>
      <c r="H14" s="41"/>
      <c r="I14" s="41"/>
      <c r="J14" s="41"/>
      <c r="K14" s="41"/>
      <c r="L14" s="59"/>
      <c r="M14" s="76">
        <f>4+3+4+3+4+3+4+3+2</f>
        <v>30</v>
      </c>
    </row>
    <row r="15" spans="1:13" ht="16" thickBot="1" x14ac:dyDescent="0.25">
      <c r="A15" s="34" t="s">
        <v>35</v>
      </c>
      <c r="B15" s="7"/>
      <c r="C15" s="42"/>
      <c r="D15" s="42"/>
      <c r="E15" s="42"/>
      <c r="F15" s="43"/>
      <c r="G15" s="42"/>
      <c r="H15" s="43"/>
      <c r="I15" s="42"/>
      <c r="J15" s="42"/>
      <c r="K15" s="42">
        <v>2</v>
      </c>
      <c r="L15" s="60">
        <v>3</v>
      </c>
      <c r="M15" s="77">
        <v>5</v>
      </c>
    </row>
    <row r="16" spans="1:13" ht="18.75" customHeight="1" x14ac:dyDescent="0.2">
      <c r="A16" s="64" t="s">
        <v>66</v>
      </c>
      <c r="B16" s="65" t="s">
        <v>65</v>
      </c>
      <c r="C16" s="41"/>
      <c r="D16" s="41"/>
      <c r="E16" s="41"/>
      <c r="F16" s="41"/>
      <c r="G16" s="41"/>
      <c r="H16" s="41"/>
      <c r="I16" s="41"/>
      <c r="J16" s="41"/>
      <c r="K16" s="41"/>
      <c r="L16" s="59"/>
      <c r="M16" s="77">
        <v>30</v>
      </c>
    </row>
    <row r="17" spans="1:13" ht="18" customHeight="1" thickBot="1" x14ac:dyDescent="0.25">
      <c r="A17" s="35" t="s">
        <v>35</v>
      </c>
      <c r="B17" s="40"/>
      <c r="C17" s="44"/>
      <c r="D17" s="44"/>
      <c r="E17" s="44"/>
      <c r="F17" s="44"/>
      <c r="G17" s="44"/>
      <c r="H17" s="44"/>
      <c r="I17" s="44"/>
      <c r="J17" s="44"/>
      <c r="K17" s="44">
        <v>2</v>
      </c>
      <c r="L17" s="61">
        <v>3</v>
      </c>
      <c r="M17" s="77">
        <v>5</v>
      </c>
    </row>
    <row r="18" spans="1:13" ht="18.75" customHeight="1" x14ac:dyDescent="0.2">
      <c r="A18" s="64" t="s">
        <v>67</v>
      </c>
      <c r="B18" s="65" t="s">
        <v>85</v>
      </c>
      <c r="C18" s="41"/>
      <c r="D18" s="41"/>
      <c r="E18" s="41"/>
      <c r="F18" s="41"/>
      <c r="G18" s="41"/>
      <c r="H18" s="41"/>
      <c r="I18" s="41"/>
      <c r="J18" s="41"/>
      <c r="K18" s="41"/>
      <c r="L18" s="59"/>
      <c r="M18" s="77">
        <v>30</v>
      </c>
    </row>
    <row r="19" spans="1:13" ht="16" thickBot="1" x14ac:dyDescent="0.25">
      <c r="A19" s="35" t="s">
        <v>35</v>
      </c>
      <c r="B19" s="40"/>
      <c r="C19" s="44"/>
      <c r="D19" s="44"/>
      <c r="E19" s="44"/>
      <c r="F19" s="44"/>
      <c r="G19" s="44"/>
      <c r="H19" s="44"/>
      <c r="I19" s="44"/>
      <c r="J19" s="44"/>
      <c r="K19" s="44">
        <v>2</v>
      </c>
      <c r="L19" s="61">
        <v>3</v>
      </c>
      <c r="M19" s="77">
        <v>5</v>
      </c>
    </row>
    <row r="20" spans="1:13" ht="18.75" customHeight="1" x14ac:dyDescent="0.2">
      <c r="A20" s="64" t="s">
        <v>68</v>
      </c>
      <c r="B20" s="65" t="s">
        <v>69</v>
      </c>
      <c r="C20" s="41"/>
      <c r="D20" s="41"/>
      <c r="E20" s="41"/>
      <c r="F20" s="41"/>
      <c r="G20" s="41"/>
      <c r="H20" s="41"/>
      <c r="I20" s="41"/>
      <c r="J20" s="41"/>
      <c r="K20" s="41"/>
      <c r="L20" s="59"/>
      <c r="M20" s="77">
        <v>30</v>
      </c>
    </row>
    <row r="21" spans="1:13" ht="16" thickBot="1" x14ac:dyDescent="0.25">
      <c r="A21" s="34" t="s">
        <v>35</v>
      </c>
      <c r="B21" s="7"/>
      <c r="C21" s="45"/>
      <c r="D21" s="45"/>
      <c r="E21" s="45"/>
      <c r="F21" s="45"/>
      <c r="G21" s="45"/>
      <c r="H21" s="45"/>
      <c r="I21" s="45"/>
      <c r="J21" s="45"/>
      <c r="K21" s="45">
        <v>2</v>
      </c>
      <c r="L21" s="62">
        <v>3</v>
      </c>
      <c r="M21" s="77">
        <v>5</v>
      </c>
    </row>
    <row r="22" spans="1:13" ht="18.75" customHeight="1" x14ac:dyDescent="0.2">
      <c r="A22" s="64" t="s">
        <v>70</v>
      </c>
      <c r="B22" s="65" t="s">
        <v>86</v>
      </c>
      <c r="C22" s="41"/>
      <c r="D22" s="41"/>
      <c r="E22" s="41"/>
      <c r="F22" s="41"/>
      <c r="G22" s="41"/>
      <c r="H22" s="41"/>
      <c r="I22" s="41"/>
      <c r="J22" s="41"/>
      <c r="K22" s="41"/>
      <c r="L22" s="59"/>
      <c r="M22" s="77">
        <v>30</v>
      </c>
    </row>
    <row r="23" spans="1:13" ht="16" thickBot="1" x14ac:dyDescent="0.25">
      <c r="A23" s="34" t="s">
        <v>35</v>
      </c>
      <c r="B23" s="7"/>
      <c r="C23" s="45"/>
      <c r="D23" s="45"/>
      <c r="E23" s="45"/>
      <c r="F23" s="45"/>
      <c r="G23" s="45"/>
      <c r="H23" s="45"/>
      <c r="I23" s="45"/>
      <c r="J23" s="45"/>
      <c r="K23" s="45">
        <v>2</v>
      </c>
      <c r="L23" s="62">
        <v>3</v>
      </c>
      <c r="M23" s="77">
        <v>5</v>
      </c>
    </row>
    <row r="24" spans="1:13" ht="18.75" customHeight="1" x14ac:dyDescent="0.2">
      <c r="A24" s="64" t="s">
        <v>71</v>
      </c>
      <c r="B24" s="65" t="s">
        <v>72</v>
      </c>
      <c r="C24" s="41"/>
      <c r="D24" s="41"/>
      <c r="E24" s="41"/>
      <c r="F24" s="41"/>
      <c r="G24" s="41"/>
      <c r="H24" s="41"/>
      <c r="I24" s="41"/>
      <c r="J24" s="41"/>
      <c r="K24" s="41"/>
      <c r="L24" s="59"/>
      <c r="M24" s="77">
        <v>30</v>
      </c>
    </row>
    <row r="25" spans="1:13" ht="16" thickBot="1" x14ac:dyDescent="0.25">
      <c r="A25" s="34" t="s">
        <v>35</v>
      </c>
      <c r="B25" s="7"/>
      <c r="C25" s="45"/>
      <c r="D25" s="45"/>
      <c r="E25" s="45"/>
      <c r="F25" s="45"/>
      <c r="G25" s="45"/>
      <c r="H25" s="45"/>
      <c r="I25" s="45"/>
      <c r="J25" s="45"/>
      <c r="K25" s="45">
        <v>2</v>
      </c>
      <c r="L25" s="62">
        <v>3</v>
      </c>
      <c r="M25" s="77">
        <v>5</v>
      </c>
    </row>
    <row r="26" spans="1:13" ht="18.75" customHeight="1" x14ac:dyDescent="0.2">
      <c r="A26" s="64" t="s">
        <v>73</v>
      </c>
      <c r="B26" s="65" t="s">
        <v>74</v>
      </c>
      <c r="C26" s="41"/>
      <c r="D26" s="41"/>
      <c r="E26" s="41"/>
      <c r="F26" s="41"/>
      <c r="G26" s="41"/>
      <c r="H26" s="41"/>
      <c r="I26" s="41"/>
      <c r="J26" s="41"/>
      <c r="K26" s="41"/>
      <c r="L26" s="59"/>
      <c r="M26" s="77">
        <v>30</v>
      </c>
    </row>
    <row r="27" spans="1:13" ht="16" thickBot="1" x14ac:dyDescent="0.25">
      <c r="A27" s="34" t="s">
        <v>35</v>
      </c>
      <c r="B27" s="7"/>
      <c r="C27" s="45"/>
      <c r="D27" s="45"/>
      <c r="E27" s="45"/>
      <c r="F27" s="45"/>
      <c r="G27" s="45"/>
      <c r="H27" s="45"/>
      <c r="I27" s="45"/>
      <c r="J27" s="45"/>
      <c r="K27" s="45">
        <v>2</v>
      </c>
      <c r="L27" s="62">
        <v>3</v>
      </c>
      <c r="M27" s="77">
        <v>5</v>
      </c>
    </row>
    <row r="28" spans="1:13" ht="20.25" customHeight="1" x14ac:dyDescent="0.2">
      <c r="A28" s="64" t="s">
        <v>75</v>
      </c>
      <c r="B28" s="65" t="s">
        <v>76</v>
      </c>
      <c r="C28" s="41"/>
      <c r="D28" s="41"/>
      <c r="E28" s="41"/>
      <c r="F28" s="41"/>
      <c r="G28" s="41"/>
      <c r="H28" s="41"/>
      <c r="I28" s="41"/>
      <c r="J28" s="41"/>
      <c r="K28" s="41"/>
      <c r="L28" s="59"/>
      <c r="M28" s="77">
        <v>30</v>
      </c>
    </row>
    <row r="29" spans="1:13" ht="16" thickBot="1" x14ac:dyDescent="0.25">
      <c r="A29" s="35" t="s">
        <v>35</v>
      </c>
      <c r="B29" s="40"/>
      <c r="C29" s="44"/>
      <c r="D29" s="44"/>
      <c r="E29" s="44"/>
      <c r="F29" s="44"/>
      <c r="G29" s="63"/>
      <c r="H29" s="44"/>
      <c r="I29" s="44"/>
      <c r="J29" s="44"/>
      <c r="K29" s="44">
        <v>2</v>
      </c>
      <c r="L29" s="61">
        <v>3</v>
      </c>
      <c r="M29" s="78">
        <v>5</v>
      </c>
    </row>
    <row r="30" spans="1:13" ht="18.75" customHeight="1" x14ac:dyDescent="0.2">
      <c r="A30" s="64" t="s">
        <v>77</v>
      </c>
      <c r="B30" s="65" t="s">
        <v>78</v>
      </c>
      <c r="C30" s="41"/>
      <c r="D30" s="41"/>
      <c r="E30" s="41"/>
      <c r="F30" s="41"/>
      <c r="G30" s="41"/>
      <c r="H30" s="41"/>
      <c r="I30" s="41"/>
      <c r="J30" s="41"/>
      <c r="K30" s="41"/>
      <c r="L30" s="59"/>
      <c r="M30" s="77">
        <v>30</v>
      </c>
    </row>
    <row r="31" spans="1:13" ht="16" thickBot="1" x14ac:dyDescent="0.25">
      <c r="A31" s="34" t="s">
        <v>35</v>
      </c>
      <c r="B31" s="7"/>
      <c r="C31" s="45"/>
      <c r="D31" s="45"/>
      <c r="E31" s="45"/>
      <c r="F31" s="45"/>
      <c r="G31" s="45"/>
      <c r="H31" s="45"/>
      <c r="I31" s="45"/>
      <c r="J31" s="45"/>
      <c r="K31" s="45">
        <v>2</v>
      </c>
      <c r="L31" s="62">
        <v>3</v>
      </c>
      <c r="M31" s="77">
        <v>5</v>
      </c>
    </row>
    <row r="32" spans="1:13" ht="18.75" customHeight="1" x14ac:dyDescent="0.2">
      <c r="A32" s="64" t="s">
        <v>79</v>
      </c>
      <c r="B32" s="65" t="s">
        <v>80</v>
      </c>
      <c r="C32" s="41"/>
      <c r="D32" s="41"/>
      <c r="E32" s="41"/>
      <c r="F32" s="41"/>
      <c r="G32" s="41"/>
      <c r="H32" s="41"/>
      <c r="I32" s="41"/>
      <c r="J32" s="41"/>
      <c r="K32" s="41"/>
      <c r="L32" s="59"/>
      <c r="M32" s="77">
        <v>30</v>
      </c>
    </row>
    <row r="33" spans="1:13" ht="16" thickBot="1" x14ac:dyDescent="0.25">
      <c r="A33" s="34" t="s">
        <v>35</v>
      </c>
      <c r="B33" s="7"/>
      <c r="C33" s="45"/>
      <c r="D33" s="45"/>
      <c r="E33" s="45"/>
      <c r="F33" s="45"/>
      <c r="G33" s="45"/>
      <c r="H33" s="45"/>
      <c r="I33" s="45"/>
      <c r="J33" s="45"/>
      <c r="K33" s="45">
        <v>2</v>
      </c>
      <c r="L33" s="62">
        <v>3</v>
      </c>
      <c r="M33" s="77">
        <v>5</v>
      </c>
    </row>
    <row r="34" spans="1:13" ht="20.25" customHeight="1" x14ac:dyDescent="0.2">
      <c r="A34" s="64" t="s">
        <v>81</v>
      </c>
      <c r="B34" s="65" t="s">
        <v>82</v>
      </c>
      <c r="C34" s="41"/>
      <c r="D34" s="41"/>
      <c r="E34" s="41"/>
      <c r="F34" s="41"/>
      <c r="G34" s="41"/>
      <c r="H34" s="41"/>
      <c r="I34" s="41"/>
      <c r="J34" s="41"/>
      <c r="K34" s="41"/>
      <c r="L34" s="59"/>
      <c r="M34" s="77">
        <v>30</v>
      </c>
    </row>
    <row r="35" spans="1:13" ht="16" thickBot="1" x14ac:dyDescent="0.25">
      <c r="A35" s="35" t="s">
        <v>35</v>
      </c>
      <c r="B35" s="40"/>
      <c r="C35" s="44"/>
      <c r="D35" s="44"/>
      <c r="E35" s="44"/>
      <c r="F35" s="44"/>
      <c r="G35" s="63"/>
      <c r="H35" s="44"/>
      <c r="I35" s="44"/>
      <c r="J35" s="44"/>
      <c r="K35" s="44">
        <v>2</v>
      </c>
      <c r="L35" s="61">
        <v>3</v>
      </c>
      <c r="M35" s="78">
        <v>5</v>
      </c>
    </row>
    <row r="36" spans="1:13" ht="20.25" customHeight="1" x14ac:dyDescent="0.2">
      <c r="A36" s="81" t="s">
        <v>119</v>
      </c>
      <c r="B36" s="82" t="s">
        <v>83</v>
      </c>
      <c r="C36" s="41"/>
      <c r="D36" s="41"/>
      <c r="E36" s="41"/>
      <c r="F36" s="41"/>
      <c r="G36" s="41"/>
      <c r="H36" s="41"/>
      <c r="I36" s="41"/>
      <c r="J36" s="41"/>
      <c r="K36" s="41"/>
      <c r="L36" s="59"/>
      <c r="M36" s="77">
        <v>30</v>
      </c>
    </row>
    <row r="37" spans="1:13" ht="16" thickBot="1" x14ac:dyDescent="0.25">
      <c r="A37" s="67" t="s">
        <v>35</v>
      </c>
      <c r="B37" s="18"/>
      <c r="C37" s="42"/>
      <c r="D37" s="42"/>
      <c r="E37" s="42"/>
      <c r="F37" s="42"/>
      <c r="G37" s="80"/>
      <c r="H37" s="42"/>
      <c r="I37" s="42"/>
      <c r="J37" s="42"/>
      <c r="K37" s="42">
        <v>2</v>
      </c>
      <c r="L37" s="60">
        <v>3</v>
      </c>
      <c r="M37" s="79">
        <v>5</v>
      </c>
    </row>
    <row r="38" spans="1:13" x14ac:dyDescent="0.2">
      <c r="A38" s="68"/>
      <c r="B38" s="69"/>
      <c r="C38" s="69"/>
      <c r="D38" s="69"/>
      <c r="E38" s="69"/>
      <c r="F38" s="69"/>
      <c r="G38" s="70"/>
      <c r="H38" s="69"/>
      <c r="I38" s="69"/>
      <c r="J38" s="69"/>
      <c r="K38" s="69"/>
      <c r="L38" s="69"/>
      <c r="M38" s="71"/>
    </row>
    <row r="39" spans="1:13" ht="16" thickBot="1" x14ac:dyDescent="0.25">
      <c r="A39" s="72" t="s">
        <v>45</v>
      </c>
      <c r="B39" s="73"/>
      <c r="C39" s="73">
        <f>12*4</f>
        <v>48</v>
      </c>
      <c r="D39" s="73">
        <f>12*3</f>
        <v>36</v>
      </c>
      <c r="E39" s="73">
        <v>48</v>
      </c>
      <c r="F39" s="73">
        <v>36</v>
      </c>
      <c r="G39" s="73">
        <f>12*4</f>
        <v>48</v>
      </c>
      <c r="H39" s="73">
        <f>12*3</f>
        <v>36</v>
      </c>
      <c r="I39" s="73">
        <v>48</v>
      </c>
      <c r="J39" s="73">
        <v>36</v>
      </c>
      <c r="K39" s="73">
        <v>48</v>
      </c>
      <c r="L39" s="73">
        <v>36</v>
      </c>
      <c r="M39" s="74">
        <v>420</v>
      </c>
    </row>
    <row r="40" spans="1:13" ht="22.5" customHeight="1" x14ac:dyDescent="0.2">
      <c r="A40" s="36" t="s">
        <v>47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 spans="1:13" ht="27" customHeight="1" x14ac:dyDescent="0.2">
      <c r="A41" s="28" t="s">
        <v>125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 spans="1:13" ht="27" customHeight="1" x14ac:dyDescent="0.2">
      <c r="A42" s="28" t="s">
        <v>146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 spans="1:13" ht="27" customHeight="1" x14ac:dyDescent="0.2">
      <c r="A43" s="28" t="s">
        <v>147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</sheetData>
  <mergeCells count="8">
    <mergeCell ref="K10:L11"/>
    <mergeCell ref="M10:M11"/>
    <mergeCell ref="A10:A11"/>
    <mergeCell ref="B10:B11"/>
    <mergeCell ref="C10:D11"/>
    <mergeCell ref="E10:F11"/>
    <mergeCell ref="G10:H11"/>
    <mergeCell ref="I10:J11"/>
  </mergeCells>
  <pageMargins left="0.23622047244094491" right="0.23622047244094491" top="0.15748031496062992" bottom="0.15748031496062992" header="0.31496062992125984" footer="0.31496062992125984"/>
  <pageSetup paperSize="9" scale="6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BF75-66A8-4792-92F3-6B71606DD089}">
  <sheetPr>
    <pageSetUpPr fitToPage="1"/>
  </sheetPr>
  <dimension ref="A1:M43"/>
  <sheetViews>
    <sheetView showGridLines="0" topLeftCell="A17" zoomScale="151" zoomScaleNormal="151" workbookViewId="0">
      <selection activeCell="A42" sqref="A42:XFD43"/>
    </sheetView>
  </sheetViews>
  <sheetFormatPr baseColWidth="10" defaultColWidth="11.33203125" defaultRowHeight="15" x14ac:dyDescent="0.2"/>
  <cols>
    <col min="1" max="1" width="30.6640625" customWidth="1"/>
    <col min="2" max="3" width="10.33203125" customWidth="1"/>
    <col min="4" max="4" width="12.83203125" customWidth="1"/>
    <col min="5" max="12" width="10.33203125" customWidth="1"/>
    <col min="13" max="13" width="14.33203125" customWidth="1"/>
  </cols>
  <sheetData>
    <row r="1" spans="1:13" x14ac:dyDescent="0.2">
      <c r="A1" s="1" t="s">
        <v>0</v>
      </c>
    </row>
    <row r="3" spans="1:13" x14ac:dyDescent="0.2">
      <c r="A3" s="66" t="s">
        <v>60</v>
      </c>
      <c r="E3" t="s">
        <v>52</v>
      </c>
      <c r="G3" s="2"/>
    </row>
    <row r="4" spans="1:13" x14ac:dyDescent="0.2">
      <c r="A4" s="66" t="s">
        <v>105</v>
      </c>
      <c r="E4" s="3" t="s">
        <v>7</v>
      </c>
      <c r="G4" s="2"/>
      <c r="H4" s="37" t="s">
        <v>53</v>
      </c>
      <c r="I4" s="37"/>
    </row>
    <row r="5" spans="1:13" x14ac:dyDescent="0.2">
      <c r="A5" s="38" t="s">
        <v>58</v>
      </c>
      <c r="G5" s="2"/>
      <c r="H5" s="37" t="s">
        <v>54</v>
      </c>
      <c r="I5" s="37"/>
    </row>
    <row r="6" spans="1:13" x14ac:dyDescent="0.2">
      <c r="A6" s="38" t="s">
        <v>59</v>
      </c>
      <c r="B6" s="1"/>
      <c r="G6" s="2"/>
      <c r="H6" s="37" t="s">
        <v>55</v>
      </c>
      <c r="I6" s="37"/>
    </row>
    <row r="7" spans="1:13" x14ac:dyDescent="0.2">
      <c r="A7" s="38" t="s">
        <v>57</v>
      </c>
      <c r="B7" s="1"/>
      <c r="E7" t="s">
        <v>15</v>
      </c>
      <c r="G7" s="2"/>
      <c r="H7" s="37" t="s">
        <v>56</v>
      </c>
      <c r="I7" s="37"/>
    </row>
    <row r="8" spans="1:13" x14ac:dyDescent="0.2">
      <c r="A8" s="66" t="s">
        <v>84</v>
      </c>
      <c r="B8" s="5"/>
      <c r="E8" s="66" t="s">
        <v>87</v>
      </c>
      <c r="G8" s="2"/>
    </row>
    <row r="9" spans="1:13" ht="9" customHeight="1" x14ac:dyDescent="0.2"/>
    <row r="10" spans="1:13" ht="26.5" customHeight="1" x14ac:dyDescent="0.2">
      <c r="A10" s="91" t="s">
        <v>17</v>
      </c>
      <c r="B10" s="91" t="s">
        <v>18</v>
      </c>
      <c r="C10" s="92" t="s">
        <v>132</v>
      </c>
      <c r="D10" s="91"/>
      <c r="E10" s="91" t="s">
        <v>133</v>
      </c>
      <c r="F10" s="91"/>
      <c r="G10" s="87" t="s">
        <v>101</v>
      </c>
      <c r="H10" s="88"/>
      <c r="I10" s="87" t="s">
        <v>102</v>
      </c>
      <c r="J10" s="88"/>
      <c r="K10" s="87" t="s">
        <v>103</v>
      </c>
      <c r="L10" s="88"/>
      <c r="M10" s="91" t="s">
        <v>24</v>
      </c>
    </row>
    <row r="11" spans="1:13" x14ac:dyDescent="0.2">
      <c r="A11" s="91"/>
      <c r="B11" s="91"/>
      <c r="C11" s="91"/>
      <c r="D11" s="91"/>
      <c r="E11" s="91"/>
      <c r="F11" s="91"/>
      <c r="G11" s="89"/>
      <c r="H11" s="90"/>
      <c r="I11" s="89"/>
      <c r="J11" s="90"/>
      <c r="K11" s="89"/>
      <c r="L11" s="90"/>
      <c r="M11" s="91"/>
    </row>
    <row r="12" spans="1:13" x14ac:dyDescent="0.2">
      <c r="A12" s="6"/>
      <c r="B12" s="7"/>
      <c r="C12" s="48"/>
      <c r="D12" s="48"/>
      <c r="E12" s="58" t="s">
        <v>61</v>
      </c>
      <c r="F12" s="58" t="s">
        <v>26</v>
      </c>
      <c r="G12" s="8" t="s">
        <v>61</v>
      </c>
      <c r="H12" s="8" t="s">
        <v>26</v>
      </c>
      <c r="I12" s="8" t="s">
        <v>61</v>
      </c>
      <c r="J12" s="8" t="s">
        <v>26</v>
      </c>
      <c r="K12" s="8" t="s">
        <v>61</v>
      </c>
      <c r="L12" s="8" t="s">
        <v>26</v>
      </c>
      <c r="M12" s="9"/>
    </row>
    <row r="13" spans="1:13" ht="17" thickBot="1" x14ac:dyDescent="0.25">
      <c r="A13" s="32" t="s">
        <v>27</v>
      </c>
      <c r="B13" s="33"/>
      <c r="C13" s="84"/>
      <c r="D13" s="84"/>
      <c r="E13" s="83" t="s">
        <v>29</v>
      </c>
      <c r="F13" s="83" t="s">
        <v>29</v>
      </c>
      <c r="G13" s="83" t="s">
        <v>29</v>
      </c>
      <c r="H13" s="83" t="s">
        <v>29</v>
      </c>
      <c r="I13" s="83" t="s">
        <v>29</v>
      </c>
      <c r="J13" s="83" t="s">
        <v>29</v>
      </c>
      <c r="K13" s="83" t="s">
        <v>129</v>
      </c>
      <c r="L13" s="83" t="s">
        <v>62</v>
      </c>
      <c r="M13" s="75"/>
    </row>
    <row r="14" spans="1:13" ht="18.75" customHeight="1" x14ac:dyDescent="0.2">
      <c r="A14" s="64" t="s">
        <v>63</v>
      </c>
      <c r="B14" s="65" t="s">
        <v>64</v>
      </c>
      <c r="C14" s="46"/>
      <c r="D14" s="46"/>
      <c r="E14" s="41"/>
      <c r="F14" s="41"/>
      <c r="G14" s="41"/>
      <c r="H14" s="41"/>
      <c r="I14" s="41"/>
      <c r="J14" s="41"/>
      <c r="K14" s="41"/>
      <c r="L14" s="59"/>
      <c r="M14" s="76">
        <f>4+3+4+3+4+3+2</f>
        <v>23</v>
      </c>
    </row>
    <row r="15" spans="1:13" ht="16" thickBot="1" x14ac:dyDescent="0.25">
      <c r="A15" s="34" t="s">
        <v>35</v>
      </c>
      <c r="B15" s="7"/>
      <c r="C15" s="51"/>
      <c r="D15" s="51"/>
      <c r="E15" s="42"/>
      <c r="F15" s="43"/>
      <c r="G15" s="42"/>
      <c r="H15" s="43"/>
      <c r="I15" s="42"/>
      <c r="J15" s="42"/>
      <c r="K15" s="42">
        <v>2</v>
      </c>
      <c r="L15" s="60">
        <v>3</v>
      </c>
      <c r="M15" s="77">
        <v>5</v>
      </c>
    </row>
    <row r="16" spans="1:13" ht="18.75" customHeight="1" x14ac:dyDescent="0.2">
      <c r="A16" s="64" t="s">
        <v>66</v>
      </c>
      <c r="B16" s="65" t="s">
        <v>65</v>
      </c>
      <c r="C16" s="46"/>
      <c r="D16" s="46"/>
      <c r="E16" s="41"/>
      <c r="F16" s="41"/>
      <c r="G16" s="41"/>
      <c r="H16" s="41"/>
      <c r="I16" s="41"/>
      <c r="J16" s="41"/>
      <c r="K16" s="41"/>
      <c r="L16" s="59"/>
      <c r="M16" s="77">
        <v>23</v>
      </c>
    </row>
    <row r="17" spans="1:13" ht="18" customHeight="1" thickBot="1" x14ac:dyDescent="0.25">
      <c r="A17" s="35" t="s">
        <v>35</v>
      </c>
      <c r="B17" s="40"/>
      <c r="C17" s="54"/>
      <c r="D17" s="54"/>
      <c r="E17" s="44"/>
      <c r="F17" s="44"/>
      <c r="G17" s="44"/>
      <c r="H17" s="44"/>
      <c r="I17" s="44"/>
      <c r="J17" s="44"/>
      <c r="K17" s="44">
        <v>2</v>
      </c>
      <c r="L17" s="61">
        <v>3</v>
      </c>
      <c r="M17" s="77">
        <v>5</v>
      </c>
    </row>
    <row r="18" spans="1:13" ht="18.75" customHeight="1" x14ac:dyDescent="0.2">
      <c r="A18" s="64" t="s">
        <v>67</v>
      </c>
      <c r="B18" s="65" t="s">
        <v>85</v>
      </c>
      <c r="C18" s="46"/>
      <c r="D18" s="46"/>
      <c r="E18" s="41"/>
      <c r="F18" s="41"/>
      <c r="G18" s="41"/>
      <c r="H18" s="41"/>
      <c r="I18" s="41"/>
      <c r="J18" s="41"/>
      <c r="K18" s="41"/>
      <c r="L18" s="59"/>
      <c r="M18" s="77">
        <v>23</v>
      </c>
    </row>
    <row r="19" spans="1:13" ht="16" thickBot="1" x14ac:dyDescent="0.25">
      <c r="A19" s="35" t="s">
        <v>35</v>
      </c>
      <c r="B19" s="40"/>
      <c r="C19" s="54"/>
      <c r="D19" s="54"/>
      <c r="E19" s="44"/>
      <c r="F19" s="44"/>
      <c r="G19" s="44"/>
      <c r="H19" s="44"/>
      <c r="I19" s="44"/>
      <c r="J19" s="44"/>
      <c r="K19" s="44">
        <v>2</v>
      </c>
      <c r="L19" s="61">
        <v>3</v>
      </c>
      <c r="M19" s="77">
        <v>5</v>
      </c>
    </row>
    <row r="20" spans="1:13" ht="18.75" customHeight="1" x14ac:dyDescent="0.2">
      <c r="A20" s="64" t="s">
        <v>68</v>
      </c>
      <c r="B20" s="65" t="s">
        <v>69</v>
      </c>
      <c r="C20" s="46"/>
      <c r="D20" s="46"/>
      <c r="E20" s="41"/>
      <c r="F20" s="41"/>
      <c r="G20" s="41"/>
      <c r="H20" s="41"/>
      <c r="I20" s="41"/>
      <c r="J20" s="41"/>
      <c r="K20" s="41"/>
      <c r="L20" s="59"/>
      <c r="M20" s="77">
        <v>23</v>
      </c>
    </row>
    <row r="21" spans="1:13" ht="16" thickBot="1" x14ac:dyDescent="0.25">
      <c r="A21" s="34" t="s">
        <v>35</v>
      </c>
      <c r="B21" s="7"/>
      <c r="C21" s="47"/>
      <c r="D21" s="47"/>
      <c r="E21" s="45"/>
      <c r="F21" s="45"/>
      <c r="G21" s="45"/>
      <c r="H21" s="45"/>
      <c r="I21" s="45"/>
      <c r="J21" s="45"/>
      <c r="K21" s="45">
        <v>2</v>
      </c>
      <c r="L21" s="62">
        <v>3</v>
      </c>
      <c r="M21" s="77">
        <v>5</v>
      </c>
    </row>
    <row r="22" spans="1:13" ht="18.75" customHeight="1" x14ac:dyDescent="0.2">
      <c r="A22" s="64" t="s">
        <v>70</v>
      </c>
      <c r="B22" s="65" t="s">
        <v>86</v>
      </c>
      <c r="C22" s="46"/>
      <c r="D22" s="46"/>
      <c r="E22" s="41"/>
      <c r="F22" s="41"/>
      <c r="G22" s="41"/>
      <c r="H22" s="41"/>
      <c r="I22" s="41"/>
      <c r="J22" s="41"/>
      <c r="K22" s="41"/>
      <c r="L22" s="59"/>
      <c r="M22" s="77">
        <v>23</v>
      </c>
    </row>
    <row r="23" spans="1:13" ht="16" thickBot="1" x14ac:dyDescent="0.25">
      <c r="A23" s="34" t="s">
        <v>35</v>
      </c>
      <c r="B23" s="7"/>
      <c r="C23" s="47"/>
      <c r="D23" s="47"/>
      <c r="E23" s="45"/>
      <c r="F23" s="45"/>
      <c r="G23" s="45"/>
      <c r="H23" s="45"/>
      <c r="I23" s="45"/>
      <c r="J23" s="45"/>
      <c r="K23" s="45">
        <v>2</v>
      </c>
      <c r="L23" s="62">
        <v>3</v>
      </c>
      <c r="M23" s="77">
        <v>5</v>
      </c>
    </row>
    <row r="24" spans="1:13" ht="18.75" customHeight="1" x14ac:dyDescent="0.2">
      <c r="A24" s="64" t="s">
        <v>71</v>
      </c>
      <c r="B24" s="65" t="s">
        <v>72</v>
      </c>
      <c r="C24" s="46"/>
      <c r="D24" s="46"/>
      <c r="E24" s="41"/>
      <c r="F24" s="41"/>
      <c r="G24" s="41"/>
      <c r="H24" s="41"/>
      <c r="I24" s="41"/>
      <c r="J24" s="41"/>
      <c r="K24" s="41"/>
      <c r="L24" s="59"/>
      <c r="M24" s="77">
        <v>23</v>
      </c>
    </row>
    <row r="25" spans="1:13" ht="16" thickBot="1" x14ac:dyDescent="0.25">
      <c r="A25" s="34" t="s">
        <v>35</v>
      </c>
      <c r="B25" s="7"/>
      <c r="C25" s="47"/>
      <c r="D25" s="47"/>
      <c r="E25" s="45"/>
      <c r="F25" s="45"/>
      <c r="G25" s="45"/>
      <c r="H25" s="45"/>
      <c r="I25" s="45"/>
      <c r="J25" s="45"/>
      <c r="K25" s="45">
        <v>2</v>
      </c>
      <c r="L25" s="62">
        <v>3</v>
      </c>
      <c r="M25" s="77">
        <v>5</v>
      </c>
    </row>
    <row r="26" spans="1:13" ht="18.75" customHeight="1" x14ac:dyDescent="0.2">
      <c r="A26" s="64" t="s">
        <v>73</v>
      </c>
      <c r="B26" s="65" t="s">
        <v>74</v>
      </c>
      <c r="C26" s="46"/>
      <c r="D26" s="46"/>
      <c r="E26" s="41"/>
      <c r="F26" s="41"/>
      <c r="G26" s="41"/>
      <c r="H26" s="41"/>
      <c r="I26" s="41"/>
      <c r="J26" s="41"/>
      <c r="K26" s="41"/>
      <c r="L26" s="59"/>
      <c r="M26" s="77">
        <v>23</v>
      </c>
    </row>
    <row r="27" spans="1:13" ht="16" thickBot="1" x14ac:dyDescent="0.25">
      <c r="A27" s="34" t="s">
        <v>35</v>
      </c>
      <c r="B27" s="7"/>
      <c r="C27" s="47"/>
      <c r="D27" s="47"/>
      <c r="E27" s="45"/>
      <c r="F27" s="45"/>
      <c r="G27" s="45"/>
      <c r="H27" s="45"/>
      <c r="I27" s="45"/>
      <c r="J27" s="45"/>
      <c r="K27" s="45">
        <v>2</v>
      </c>
      <c r="L27" s="62">
        <v>3</v>
      </c>
      <c r="M27" s="77">
        <v>5</v>
      </c>
    </row>
    <row r="28" spans="1:13" ht="20.25" customHeight="1" x14ac:dyDescent="0.2">
      <c r="A28" s="64" t="s">
        <v>75</v>
      </c>
      <c r="B28" s="65" t="s">
        <v>76</v>
      </c>
      <c r="C28" s="46"/>
      <c r="D28" s="46"/>
      <c r="E28" s="41"/>
      <c r="F28" s="41"/>
      <c r="G28" s="41"/>
      <c r="H28" s="41"/>
      <c r="I28" s="41"/>
      <c r="J28" s="41"/>
      <c r="K28" s="41"/>
      <c r="L28" s="59"/>
      <c r="M28" s="77">
        <v>23</v>
      </c>
    </row>
    <row r="29" spans="1:13" ht="16" thickBot="1" x14ac:dyDescent="0.25">
      <c r="A29" s="35" t="s">
        <v>35</v>
      </c>
      <c r="B29" s="40"/>
      <c r="C29" s="54"/>
      <c r="D29" s="54"/>
      <c r="E29" s="44"/>
      <c r="F29" s="44"/>
      <c r="G29" s="63"/>
      <c r="H29" s="44"/>
      <c r="I29" s="44"/>
      <c r="J29" s="44"/>
      <c r="K29" s="44">
        <v>2</v>
      </c>
      <c r="L29" s="61">
        <v>3</v>
      </c>
      <c r="M29" s="78">
        <v>5</v>
      </c>
    </row>
    <row r="30" spans="1:13" ht="18.75" customHeight="1" x14ac:dyDescent="0.2">
      <c r="A30" s="64" t="s">
        <v>77</v>
      </c>
      <c r="B30" s="65" t="s">
        <v>78</v>
      </c>
      <c r="C30" s="46"/>
      <c r="D30" s="46"/>
      <c r="E30" s="41"/>
      <c r="F30" s="41"/>
      <c r="G30" s="41"/>
      <c r="H30" s="41"/>
      <c r="I30" s="41"/>
      <c r="J30" s="41"/>
      <c r="K30" s="41"/>
      <c r="L30" s="59"/>
      <c r="M30" s="77">
        <v>23</v>
      </c>
    </row>
    <row r="31" spans="1:13" ht="16" thickBot="1" x14ac:dyDescent="0.25">
      <c r="A31" s="34" t="s">
        <v>35</v>
      </c>
      <c r="B31" s="7"/>
      <c r="C31" s="47"/>
      <c r="D31" s="47"/>
      <c r="E31" s="45"/>
      <c r="F31" s="45"/>
      <c r="G31" s="45"/>
      <c r="H31" s="45"/>
      <c r="I31" s="45"/>
      <c r="J31" s="45"/>
      <c r="K31" s="45">
        <v>2</v>
      </c>
      <c r="L31" s="62">
        <v>3</v>
      </c>
      <c r="M31" s="77">
        <v>5</v>
      </c>
    </row>
    <row r="32" spans="1:13" ht="18.75" customHeight="1" x14ac:dyDescent="0.2">
      <c r="A32" s="64" t="s">
        <v>79</v>
      </c>
      <c r="B32" s="65" t="s">
        <v>80</v>
      </c>
      <c r="C32" s="46"/>
      <c r="D32" s="46"/>
      <c r="E32" s="41"/>
      <c r="F32" s="41"/>
      <c r="G32" s="41"/>
      <c r="H32" s="41"/>
      <c r="I32" s="41"/>
      <c r="J32" s="41"/>
      <c r="K32" s="41"/>
      <c r="L32" s="59"/>
      <c r="M32" s="77">
        <v>23</v>
      </c>
    </row>
    <row r="33" spans="1:13" ht="16" thickBot="1" x14ac:dyDescent="0.25">
      <c r="A33" s="34" t="s">
        <v>35</v>
      </c>
      <c r="B33" s="7"/>
      <c r="C33" s="47"/>
      <c r="D33" s="47"/>
      <c r="E33" s="45"/>
      <c r="F33" s="45"/>
      <c r="G33" s="45"/>
      <c r="H33" s="45"/>
      <c r="I33" s="45"/>
      <c r="J33" s="45"/>
      <c r="K33" s="45">
        <v>2</v>
      </c>
      <c r="L33" s="62">
        <v>3</v>
      </c>
      <c r="M33" s="77">
        <v>5</v>
      </c>
    </row>
    <row r="34" spans="1:13" ht="20.25" customHeight="1" x14ac:dyDescent="0.2">
      <c r="A34" s="64" t="s">
        <v>81</v>
      </c>
      <c r="B34" s="65" t="s">
        <v>82</v>
      </c>
      <c r="C34" s="46"/>
      <c r="D34" s="46"/>
      <c r="E34" s="41"/>
      <c r="F34" s="41"/>
      <c r="G34" s="41"/>
      <c r="H34" s="41"/>
      <c r="I34" s="41"/>
      <c r="J34" s="41"/>
      <c r="K34" s="41"/>
      <c r="L34" s="59"/>
      <c r="M34" s="77">
        <v>23</v>
      </c>
    </row>
    <row r="35" spans="1:13" ht="16" thickBot="1" x14ac:dyDescent="0.25">
      <c r="A35" s="35" t="s">
        <v>35</v>
      </c>
      <c r="B35" s="40"/>
      <c r="C35" s="54"/>
      <c r="D35" s="54"/>
      <c r="E35" s="44"/>
      <c r="F35" s="44"/>
      <c r="G35" s="63"/>
      <c r="H35" s="44"/>
      <c r="I35" s="44"/>
      <c r="J35" s="44"/>
      <c r="K35" s="44">
        <v>2</v>
      </c>
      <c r="L35" s="61">
        <v>3</v>
      </c>
      <c r="M35" s="78">
        <v>5</v>
      </c>
    </row>
    <row r="36" spans="1:13" ht="20.25" customHeight="1" x14ac:dyDescent="0.2">
      <c r="A36" s="81" t="s">
        <v>119</v>
      </c>
      <c r="B36" s="82" t="s">
        <v>83</v>
      </c>
      <c r="C36" s="46"/>
      <c r="D36" s="46"/>
      <c r="E36" s="41"/>
      <c r="F36" s="41"/>
      <c r="G36" s="41"/>
      <c r="H36" s="41"/>
      <c r="I36" s="41"/>
      <c r="J36" s="41"/>
      <c r="K36" s="41"/>
      <c r="L36" s="59"/>
      <c r="M36" s="77">
        <v>23</v>
      </c>
    </row>
    <row r="37" spans="1:13" ht="16" thickBot="1" x14ac:dyDescent="0.25">
      <c r="A37" s="67" t="s">
        <v>35</v>
      </c>
      <c r="B37" s="18"/>
      <c r="C37" s="51"/>
      <c r="D37" s="51"/>
      <c r="E37" s="42"/>
      <c r="F37" s="42"/>
      <c r="G37" s="80"/>
      <c r="H37" s="42"/>
      <c r="I37" s="42"/>
      <c r="J37" s="42"/>
      <c r="K37" s="42">
        <v>2</v>
      </c>
      <c r="L37" s="60">
        <v>3</v>
      </c>
      <c r="M37" s="79">
        <v>5</v>
      </c>
    </row>
    <row r="38" spans="1:13" x14ac:dyDescent="0.2">
      <c r="A38" s="68"/>
      <c r="B38" s="69"/>
      <c r="C38" s="69"/>
      <c r="D38" s="69"/>
      <c r="E38" s="69"/>
      <c r="F38" s="69"/>
      <c r="G38" s="70"/>
      <c r="H38" s="69"/>
      <c r="I38" s="69"/>
      <c r="J38" s="69"/>
      <c r="K38" s="69"/>
      <c r="L38" s="69"/>
      <c r="M38" s="71"/>
    </row>
    <row r="39" spans="1:13" ht="16" thickBot="1" x14ac:dyDescent="0.25">
      <c r="A39" s="72" t="s">
        <v>45</v>
      </c>
      <c r="B39" s="73"/>
      <c r="C39" s="73"/>
      <c r="D39" s="73"/>
      <c r="E39" s="73">
        <v>48</v>
      </c>
      <c r="F39" s="73">
        <v>36</v>
      </c>
      <c r="G39" s="73">
        <f>12*4</f>
        <v>48</v>
      </c>
      <c r="H39" s="73">
        <f>12*3</f>
        <v>36</v>
      </c>
      <c r="I39" s="73">
        <v>48</v>
      </c>
      <c r="J39" s="73">
        <v>36</v>
      </c>
      <c r="K39" s="73">
        <v>48</v>
      </c>
      <c r="L39" s="73">
        <v>36</v>
      </c>
      <c r="M39" s="74">
        <v>336</v>
      </c>
    </row>
    <row r="40" spans="1:13" ht="22.5" customHeight="1" x14ac:dyDescent="0.2">
      <c r="A40" s="36" t="s">
        <v>47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 t="s">
        <v>135</v>
      </c>
    </row>
    <row r="41" spans="1:13" ht="27" customHeight="1" x14ac:dyDescent="0.2">
      <c r="A41" s="28" t="s">
        <v>125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 spans="1:13" ht="27" customHeight="1" x14ac:dyDescent="0.2">
      <c r="A42" s="28" t="s">
        <v>146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 spans="1:13" ht="27" customHeight="1" x14ac:dyDescent="0.2">
      <c r="A43" s="28" t="s">
        <v>147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</sheetData>
  <mergeCells count="8">
    <mergeCell ref="K10:L11"/>
    <mergeCell ref="M10:M11"/>
    <mergeCell ref="A10:A11"/>
    <mergeCell ref="B10:B11"/>
    <mergeCell ref="C10:D11"/>
    <mergeCell ref="E10:F11"/>
    <mergeCell ref="G10:H11"/>
    <mergeCell ref="I10:J11"/>
  </mergeCells>
  <pageMargins left="0.23622047244094491" right="0.23622047244094491" top="0.15748031496062992" bottom="0.15748031496062992" header="0.31496062992125984" footer="0.31496062992125984"/>
  <pageSetup paperSize="9" scale="6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35AF2-BA85-4CE1-99B7-8292D222BE01}">
  <sheetPr>
    <pageSetUpPr fitToPage="1"/>
  </sheetPr>
  <dimension ref="A1:M43"/>
  <sheetViews>
    <sheetView showGridLines="0" topLeftCell="A16" zoomScale="151" zoomScaleNormal="151" workbookViewId="0">
      <selection activeCell="A42" sqref="A42:XFD43"/>
    </sheetView>
  </sheetViews>
  <sheetFormatPr baseColWidth="10" defaultColWidth="11.33203125" defaultRowHeight="15" x14ac:dyDescent="0.2"/>
  <cols>
    <col min="1" max="1" width="30.6640625" customWidth="1"/>
    <col min="2" max="3" width="10.33203125" customWidth="1"/>
    <col min="4" max="4" width="12.83203125" customWidth="1"/>
    <col min="5" max="12" width="10.33203125" customWidth="1"/>
    <col min="13" max="13" width="14.33203125" customWidth="1"/>
  </cols>
  <sheetData>
    <row r="1" spans="1:13" x14ac:dyDescent="0.2">
      <c r="A1" s="1" t="s">
        <v>0</v>
      </c>
    </row>
    <row r="3" spans="1:13" x14ac:dyDescent="0.2">
      <c r="A3" s="66" t="s">
        <v>60</v>
      </c>
      <c r="E3" t="s">
        <v>52</v>
      </c>
      <c r="G3" s="2"/>
    </row>
    <row r="4" spans="1:13" x14ac:dyDescent="0.2">
      <c r="A4" s="66" t="s">
        <v>105</v>
      </c>
      <c r="E4" s="3" t="s">
        <v>7</v>
      </c>
      <c r="G4" s="2"/>
      <c r="H4" s="37" t="s">
        <v>53</v>
      </c>
      <c r="I4" s="37"/>
    </row>
    <row r="5" spans="1:13" x14ac:dyDescent="0.2">
      <c r="A5" s="38" t="s">
        <v>58</v>
      </c>
      <c r="G5" s="2"/>
      <c r="H5" s="37" t="s">
        <v>54</v>
      </c>
      <c r="I5" s="37"/>
    </row>
    <row r="6" spans="1:13" x14ac:dyDescent="0.2">
      <c r="A6" s="38" t="s">
        <v>59</v>
      </c>
      <c r="B6" s="1"/>
      <c r="G6" s="2"/>
      <c r="H6" s="37" t="s">
        <v>55</v>
      </c>
      <c r="I6" s="37"/>
    </row>
    <row r="7" spans="1:13" x14ac:dyDescent="0.2">
      <c r="A7" s="38" t="s">
        <v>57</v>
      </c>
      <c r="B7" s="1"/>
      <c r="E7" t="s">
        <v>15</v>
      </c>
      <c r="G7" s="2"/>
      <c r="H7" s="37" t="s">
        <v>56</v>
      </c>
      <c r="I7" s="37"/>
    </row>
    <row r="8" spans="1:13" x14ac:dyDescent="0.2">
      <c r="A8" s="66" t="s">
        <v>84</v>
      </c>
      <c r="B8" s="5"/>
      <c r="E8" s="66" t="s">
        <v>87</v>
      </c>
      <c r="G8" s="2"/>
    </row>
    <row r="9" spans="1:13" ht="9" customHeight="1" x14ac:dyDescent="0.2"/>
    <row r="10" spans="1:13" ht="26.5" customHeight="1" x14ac:dyDescent="0.2">
      <c r="A10" s="91" t="s">
        <v>17</v>
      </c>
      <c r="B10" s="91" t="s">
        <v>18</v>
      </c>
      <c r="C10" s="92" t="s">
        <v>134</v>
      </c>
      <c r="D10" s="91"/>
      <c r="E10" s="91" t="s">
        <v>106</v>
      </c>
      <c r="F10" s="91"/>
      <c r="G10" s="87" t="s">
        <v>104</v>
      </c>
      <c r="H10" s="88"/>
      <c r="I10" s="87" t="s">
        <v>99</v>
      </c>
      <c r="J10" s="88"/>
      <c r="K10" s="87" t="s">
        <v>100</v>
      </c>
      <c r="L10" s="88"/>
      <c r="M10" s="91" t="s">
        <v>24</v>
      </c>
    </row>
    <row r="11" spans="1:13" x14ac:dyDescent="0.2">
      <c r="A11" s="91"/>
      <c r="B11" s="91"/>
      <c r="C11" s="91"/>
      <c r="D11" s="91"/>
      <c r="E11" s="91"/>
      <c r="F11" s="91"/>
      <c r="G11" s="89"/>
      <c r="H11" s="90"/>
      <c r="I11" s="89"/>
      <c r="J11" s="90"/>
      <c r="K11" s="89"/>
      <c r="L11" s="90"/>
      <c r="M11" s="91"/>
    </row>
    <row r="12" spans="1:13" x14ac:dyDescent="0.2">
      <c r="A12" s="6"/>
      <c r="B12" s="7"/>
      <c r="C12" s="48"/>
      <c r="D12" s="48"/>
      <c r="E12" s="58" t="s">
        <v>61</v>
      </c>
      <c r="F12" s="58" t="s">
        <v>26</v>
      </c>
      <c r="G12" s="8" t="s">
        <v>61</v>
      </c>
      <c r="H12" s="8" t="s">
        <v>26</v>
      </c>
      <c r="I12" s="8" t="s">
        <v>61</v>
      </c>
      <c r="J12" s="8" t="s">
        <v>26</v>
      </c>
      <c r="K12" s="8" t="s">
        <v>61</v>
      </c>
      <c r="L12" s="8" t="s">
        <v>26</v>
      </c>
      <c r="M12" s="9"/>
    </row>
    <row r="13" spans="1:13" ht="17" thickBot="1" x14ac:dyDescent="0.25">
      <c r="A13" s="32" t="s">
        <v>27</v>
      </c>
      <c r="B13" s="33"/>
      <c r="C13" s="84"/>
      <c r="D13" s="84"/>
      <c r="E13" s="83" t="s">
        <v>29</v>
      </c>
      <c r="F13" s="83" t="s">
        <v>29</v>
      </c>
      <c r="G13" s="83" t="s">
        <v>29</v>
      </c>
      <c r="H13" s="83" t="s">
        <v>29</v>
      </c>
      <c r="I13" s="83" t="s">
        <v>29</v>
      </c>
      <c r="J13" s="83" t="s">
        <v>29</v>
      </c>
      <c r="K13" s="83" t="s">
        <v>129</v>
      </c>
      <c r="L13" s="83" t="s">
        <v>62</v>
      </c>
      <c r="M13" s="75"/>
    </row>
    <row r="14" spans="1:13" ht="18.75" customHeight="1" x14ac:dyDescent="0.2">
      <c r="A14" s="64" t="s">
        <v>63</v>
      </c>
      <c r="B14" s="65" t="s">
        <v>64</v>
      </c>
      <c r="C14" s="46"/>
      <c r="D14" s="46"/>
      <c r="E14" s="41"/>
      <c r="F14" s="41"/>
      <c r="G14" s="41"/>
      <c r="H14" s="41"/>
      <c r="I14" s="41"/>
      <c r="J14" s="41"/>
      <c r="K14" s="41"/>
      <c r="L14" s="59"/>
      <c r="M14" s="76">
        <v>23</v>
      </c>
    </row>
    <row r="15" spans="1:13" ht="16" thickBot="1" x14ac:dyDescent="0.25">
      <c r="A15" s="34" t="s">
        <v>35</v>
      </c>
      <c r="B15" s="7"/>
      <c r="C15" s="51"/>
      <c r="D15" s="51"/>
      <c r="E15" s="42"/>
      <c r="F15" s="43"/>
      <c r="G15" s="42"/>
      <c r="H15" s="43"/>
      <c r="I15" s="42"/>
      <c r="J15" s="42"/>
      <c r="K15" s="42">
        <v>2</v>
      </c>
      <c r="L15" s="60">
        <v>3</v>
      </c>
      <c r="M15" s="77">
        <v>5</v>
      </c>
    </row>
    <row r="16" spans="1:13" ht="18.75" customHeight="1" x14ac:dyDescent="0.2">
      <c r="A16" s="64" t="s">
        <v>66</v>
      </c>
      <c r="B16" s="65" t="s">
        <v>65</v>
      </c>
      <c r="C16" s="46"/>
      <c r="D16" s="46"/>
      <c r="E16" s="41"/>
      <c r="F16" s="41"/>
      <c r="G16" s="41"/>
      <c r="H16" s="41"/>
      <c r="I16" s="41"/>
      <c r="J16" s="41"/>
      <c r="K16" s="41"/>
      <c r="L16" s="59"/>
      <c r="M16" s="77">
        <v>23</v>
      </c>
    </row>
    <row r="17" spans="1:13" ht="18" customHeight="1" thickBot="1" x14ac:dyDescent="0.25">
      <c r="A17" s="35" t="s">
        <v>35</v>
      </c>
      <c r="B17" s="40"/>
      <c r="C17" s="54"/>
      <c r="D17" s="54"/>
      <c r="E17" s="44"/>
      <c r="F17" s="44"/>
      <c r="G17" s="44"/>
      <c r="H17" s="44"/>
      <c r="I17" s="44"/>
      <c r="J17" s="44"/>
      <c r="K17" s="44">
        <v>2</v>
      </c>
      <c r="L17" s="61">
        <v>3</v>
      </c>
      <c r="M17" s="77">
        <v>5</v>
      </c>
    </row>
    <row r="18" spans="1:13" ht="18.75" customHeight="1" x14ac:dyDescent="0.2">
      <c r="A18" s="64" t="s">
        <v>67</v>
      </c>
      <c r="B18" s="65" t="s">
        <v>85</v>
      </c>
      <c r="C18" s="46"/>
      <c r="D18" s="46"/>
      <c r="E18" s="41"/>
      <c r="F18" s="41"/>
      <c r="G18" s="41"/>
      <c r="H18" s="41"/>
      <c r="I18" s="41"/>
      <c r="J18" s="41"/>
      <c r="K18" s="41"/>
      <c r="L18" s="59"/>
      <c r="M18" s="77">
        <v>23</v>
      </c>
    </row>
    <row r="19" spans="1:13" ht="16" thickBot="1" x14ac:dyDescent="0.25">
      <c r="A19" s="35" t="s">
        <v>35</v>
      </c>
      <c r="B19" s="40"/>
      <c r="C19" s="54"/>
      <c r="D19" s="54"/>
      <c r="E19" s="44"/>
      <c r="F19" s="44"/>
      <c r="G19" s="44"/>
      <c r="H19" s="44"/>
      <c r="I19" s="44"/>
      <c r="J19" s="44"/>
      <c r="K19" s="44">
        <v>2</v>
      </c>
      <c r="L19" s="61">
        <v>3</v>
      </c>
      <c r="M19" s="77">
        <v>5</v>
      </c>
    </row>
    <row r="20" spans="1:13" ht="18.75" customHeight="1" x14ac:dyDescent="0.2">
      <c r="A20" s="64" t="s">
        <v>68</v>
      </c>
      <c r="B20" s="65" t="s">
        <v>69</v>
      </c>
      <c r="C20" s="46"/>
      <c r="D20" s="46"/>
      <c r="E20" s="41"/>
      <c r="F20" s="41"/>
      <c r="G20" s="41"/>
      <c r="H20" s="41"/>
      <c r="I20" s="41"/>
      <c r="J20" s="41"/>
      <c r="K20" s="41"/>
      <c r="L20" s="59"/>
      <c r="M20" s="77">
        <v>23</v>
      </c>
    </row>
    <row r="21" spans="1:13" ht="16" thickBot="1" x14ac:dyDescent="0.25">
      <c r="A21" s="34" t="s">
        <v>35</v>
      </c>
      <c r="B21" s="7"/>
      <c r="C21" s="47"/>
      <c r="D21" s="47"/>
      <c r="E21" s="45"/>
      <c r="F21" s="45"/>
      <c r="G21" s="45"/>
      <c r="H21" s="45"/>
      <c r="I21" s="45"/>
      <c r="J21" s="45"/>
      <c r="K21" s="45">
        <v>2</v>
      </c>
      <c r="L21" s="62">
        <v>3</v>
      </c>
      <c r="M21" s="77">
        <v>5</v>
      </c>
    </row>
    <row r="22" spans="1:13" ht="18.75" customHeight="1" x14ac:dyDescent="0.2">
      <c r="A22" s="64" t="s">
        <v>70</v>
      </c>
      <c r="B22" s="65" t="s">
        <v>86</v>
      </c>
      <c r="C22" s="46"/>
      <c r="D22" s="46"/>
      <c r="E22" s="41"/>
      <c r="F22" s="41"/>
      <c r="G22" s="41"/>
      <c r="H22" s="41"/>
      <c r="I22" s="41"/>
      <c r="J22" s="41"/>
      <c r="K22" s="41"/>
      <c r="L22" s="59"/>
      <c r="M22" s="77">
        <v>23</v>
      </c>
    </row>
    <row r="23" spans="1:13" ht="16" thickBot="1" x14ac:dyDescent="0.25">
      <c r="A23" s="34" t="s">
        <v>35</v>
      </c>
      <c r="B23" s="7"/>
      <c r="C23" s="47"/>
      <c r="D23" s="47"/>
      <c r="E23" s="45"/>
      <c r="F23" s="45"/>
      <c r="G23" s="45"/>
      <c r="H23" s="45"/>
      <c r="I23" s="45"/>
      <c r="J23" s="45"/>
      <c r="K23" s="45">
        <v>2</v>
      </c>
      <c r="L23" s="62">
        <v>3</v>
      </c>
      <c r="M23" s="77">
        <v>5</v>
      </c>
    </row>
    <row r="24" spans="1:13" ht="18.75" customHeight="1" x14ac:dyDescent="0.2">
      <c r="A24" s="64" t="s">
        <v>71</v>
      </c>
      <c r="B24" s="65" t="s">
        <v>72</v>
      </c>
      <c r="C24" s="46"/>
      <c r="D24" s="46"/>
      <c r="E24" s="41"/>
      <c r="F24" s="41"/>
      <c r="G24" s="41"/>
      <c r="H24" s="41"/>
      <c r="I24" s="41"/>
      <c r="J24" s="41"/>
      <c r="K24" s="41"/>
      <c r="L24" s="59"/>
      <c r="M24" s="77">
        <v>23</v>
      </c>
    </row>
    <row r="25" spans="1:13" ht="16" thickBot="1" x14ac:dyDescent="0.25">
      <c r="A25" s="34" t="s">
        <v>35</v>
      </c>
      <c r="B25" s="7"/>
      <c r="C25" s="47"/>
      <c r="D25" s="47"/>
      <c r="E25" s="45"/>
      <c r="F25" s="45"/>
      <c r="G25" s="45"/>
      <c r="H25" s="45"/>
      <c r="I25" s="45"/>
      <c r="J25" s="45"/>
      <c r="K25" s="45">
        <v>2</v>
      </c>
      <c r="L25" s="62">
        <v>3</v>
      </c>
      <c r="M25" s="77">
        <v>5</v>
      </c>
    </row>
    <row r="26" spans="1:13" ht="18.75" customHeight="1" x14ac:dyDescent="0.2">
      <c r="A26" s="64" t="s">
        <v>73</v>
      </c>
      <c r="B26" s="65" t="s">
        <v>74</v>
      </c>
      <c r="C26" s="46"/>
      <c r="D26" s="46"/>
      <c r="E26" s="41"/>
      <c r="F26" s="41"/>
      <c r="G26" s="41"/>
      <c r="H26" s="41"/>
      <c r="I26" s="41"/>
      <c r="J26" s="41"/>
      <c r="K26" s="41"/>
      <c r="L26" s="59"/>
      <c r="M26" s="77">
        <v>23</v>
      </c>
    </row>
    <row r="27" spans="1:13" ht="16" thickBot="1" x14ac:dyDescent="0.25">
      <c r="A27" s="34" t="s">
        <v>35</v>
      </c>
      <c r="B27" s="7"/>
      <c r="C27" s="47"/>
      <c r="D27" s="47"/>
      <c r="E27" s="45"/>
      <c r="F27" s="45"/>
      <c r="G27" s="45"/>
      <c r="H27" s="45"/>
      <c r="I27" s="45"/>
      <c r="J27" s="45"/>
      <c r="K27" s="45">
        <v>2</v>
      </c>
      <c r="L27" s="62">
        <v>3</v>
      </c>
      <c r="M27" s="77">
        <v>5</v>
      </c>
    </row>
    <row r="28" spans="1:13" ht="20.25" customHeight="1" x14ac:dyDescent="0.2">
      <c r="A28" s="64" t="s">
        <v>75</v>
      </c>
      <c r="B28" s="65" t="s">
        <v>76</v>
      </c>
      <c r="C28" s="46"/>
      <c r="D28" s="46"/>
      <c r="E28" s="41"/>
      <c r="F28" s="41"/>
      <c r="G28" s="41"/>
      <c r="H28" s="41"/>
      <c r="I28" s="41"/>
      <c r="J28" s="41"/>
      <c r="K28" s="41"/>
      <c r="L28" s="59"/>
      <c r="M28" s="77">
        <v>23</v>
      </c>
    </row>
    <row r="29" spans="1:13" ht="16" thickBot="1" x14ac:dyDescent="0.25">
      <c r="A29" s="35" t="s">
        <v>35</v>
      </c>
      <c r="B29" s="40"/>
      <c r="C29" s="54"/>
      <c r="D29" s="54"/>
      <c r="E29" s="44"/>
      <c r="F29" s="44"/>
      <c r="G29" s="63"/>
      <c r="H29" s="44"/>
      <c r="I29" s="44"/>
      <c r="J29" s="44"/>
      <c r="K29" s="44">
        <v>2</v>
      </c>
      <c r="L29" s="61">
        <v>3</v>
      </c>
      <c r="M29" s="78">
        <v>5</v>
      </c>
    </row>
    <row r="30" spans="1:13" ht="18.75" customHeight="1" x14ac:dyDescent="0.2">
      <c r="A30" s="64" t="s">
        <v>77</v>
      </c>
      <c r="B30" s="65" t="s">
        <v>78</v>
      </c>
      <c r="C30" s="46"/>
      <c r="D30" s="46"/>
      <c r="E30" s="41"/>
      <c r="F30" s="41"/>
      <c r="G30" s="41"/>
      <c r="H30" s="41"/>
      <c r="I30" s="41"/>
      <c r="J30" s="41"/>
      <c r="K30" s="41"/>
      <c r="L30" s="59"/>
      <c r="M30" s="77">
        <v>23</v>
      </c>
    </row>
    <row r="31" spans="1:13" ht="16" thickBot="1" x14ac:dyDescent="0.25">
      <c r="A31" s="34" t="s">
        <v>35</v>
      </c>
      <c r="B31" s="7"/>
      <c r="C31" s="47"/>
      <c r="D31" s="47"/>
      <c r="E31" s="45"/>
      <c r="F31" s="45"/>
      <c r="G31" s="45"/>
      <c r="H31" s="45"/>
      <c r="I31" s="45"/>
      <c r="J31" s="45"/>
      <c r="K31" s="45">
        <v>2</v>
      </c>
      <c r="L31" s="62">
        <v>3</v>
      </c>
      <c r="M31" s="77">
        <v>5</v>
      </c>
    </row>
    <row r="32" spans="1:13" ht="18.75" customHeight="1" x14ac:dyDescent="0.2">
      <c r="A32" s="64" t="s">
        <v>79</v>
      </c>
      <c r="B32" s="65" t="s">
        <v>80</v>
      </c>
      <c r="C32" s="46"/>
      <c r="D32" s="46"/>
      <c r="E32" s="41"/>
      <c r="F32" s="41"/>
      <c r="G32" s="41"/>
      <c r="H32" s="41"/>
      <c r="I32" s="41"/>
      <c r="J32" s="41"/>
      <c r="K32" s="41"/>
      <c r="L32" s="59"/>
      <c r="M32" s="77">
        <v>23</v>
      </c>
    </row>
    <row r="33" spans="1:13" ht="16" thickBot="1" x14ac:dyDescent="0.25">
      <c r="A33" s="34" t="s">
        <v>35</v>
      </c>
      <c r="B33" s="7"/>
      <c r="C33" s="47"/>
      <c r="D33" s="47"/>
      <c r="E33" s="45"/>
      <c r="F33" s="45"/>
      <c r="G33" s="45"/>
      <c r="H33" s="45"/>
      <c r="I33" s="45"/>
      <c r="J33" s="45"/>
      <c r="K33" s="45">
        <v>2</v>
      </c>
      <c r="L33" s="62">
        <v>3</v>
      </c>
      <c r="M33" s="77">
        <v>5</v>
      </c>
    </row>
    <row r="34" spans="1:13" ht="20.25" customHeight="1" x14ac:dyDescent="0.2">
      <c r="A34" s="64" t="s">
        <v>81</v>
      </c>
      <c r="B34" s="65" t="s">
        <v>82</v>
      </c>
      <c r="C34" s="46"/>
      <c r="D34" s="46"/>
      <c r="E34" s="41"/>
      <c r="F34" s="41"/>
      <c r="G34" s="41"/>
      <c r="H34" s="41"/>
      <c r="I34" s="41"/>
      <c r="J34" s="41"/>
      <c r="K34" s="41"/>
      <c r="L34" s="59"/>
      <c r="M34" s="77">
        <v>23</v>
      </c>
    </row>
    <row r="35" spans="1:13" ht="16" thickBot="1" x14ac:dyDescent="0.25">
      <c r="A35" s="35" t="s">
        <v>35</v>
      </c>
      <c r="B35" s="40"/>
      <c r="C35" s="54"/>
      <c r="D35" s="54"/>
      <c r="E35" s="44"/>
      <c r="F35" s="44"/>
      <c r="G35" s="63"/>
      <c r="H35" s="44"/>
      <c r="I35" s="44"/>
      <c r="J35" s="44"/>
      <c r="K35" s="44">
        <v>2</v>
      </c>
      <c r="L35" s="61">
        <v>3</v>
      </c>
      <c r="M35" s="78">
        <v>5</v>
      </c>
    </row>
    <row r="36" spans="1:13" ht="20.25" customHeight="1" x14ac:dyDescent="0.2">
      <c r="A36" s="81" t="s">
        <v>119</v>
      </c>
      <c r="B36" s="82" t="s">
        <v>83</v>
      </c>
      <c r="C36" s="46"/>
      <c r="D36" s="46"/>
      <c r="E36" s="41"/>
      <c r="F36" s="41"/>
      <c r="G36" s="41"/>
      <c r="H36" s="41"/>
      <c r="I36" s="41"/>
      <c r="J36" s="41"/>
      <c r="K36" s="41"/>
      <c r="L36" s="59"/>
      <c r="M36" s="77">
        <v>23</v>
      </c>
    </row>
    <row r="37" spans="1:13" ht="16" thickBot="1" x14ac:dyDescent="0.25">
      <c r="A37" s="67" t="s">
        <v>35</v>
      </c>
      <c r="B37" s="18"/>
      <c r="C37" s="51"/>
      <c r="D37" s="51"/>
      <c r="E37" s="42"/>
      <c r="F37" s="42"/>
      <c r="G37" s="80"/>
      <c r="H37" s="42"/>
      <c r="I37" s="42"/>
      <c r="J37" s="42"/>
      <c r="K37" s="42">
        <v>2</v>
      </c>
      <c r="L37" s="60">
        <v>3</v>
      </c>
      <c r="M37" s="79">
        <v>5</v>
      </c>
    </row>
    <row r="38" spans="1:13" x14ac:dyDescent="0.2">
      <c r="A38" s="68"/>
      <c r="B38" s="69"/>
      <c r="C38" s="69"/>
      <c r="D38" s="69"/>
      <c r="E38" s="69"/>
      <c r="F38" s="69"/>
      <c r="G38" s="70"/>
      <c r="H38" s="69"/>
      <c r="I38" s="69"/>
      <c r="J38" s="69"/>
      <c r="K38" s="69"/>
      <c r="L38" s="69"/>
      <c r="M38" s="71"/>
    </row>
    <row r="39" spans="1:13" ht="16" thickBot="1" x14ac:dyDescent="0.25">
      <c r="A39" s="72" t="s">
        <v>45</v>
      </c>
      <c r="B39" s="73"/>
      <c r="C39" s="73"/>
      <c r="D39" s="73"/>
      <c r="E39" s="73">
        <v>48</v>
      </c>
      <c r="F39" s="73">
        <v>36</v>
      </c>
      <c r="G39" s="73">
        <f>12*4</f>
        <v>48</v>
      </c>
      <c r="H39" s="73">
        <f>12*3</f>
        <v>36</v>
      </c>
      <c r="I39" s="73">
        <v>48</v>
      </c>
      <c r="J39" s="73">
        <v>36</v>
      </c>
      <c r="K39" s="73">
        <v>48</v>
      </c>
      <c r="L39" s="73">
        <v>36</v>
      </c>
      <c r="M39" s="74">
        <v>336</v>
      </c>
    </row>
    <row r="40" spans="1:13" ht="22.5" customHeight="1" x14ac:dyDescent="0.2">
      <c r="A40" s="36" t="s">
        <v>47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 spans="1:13" ht="27" customHeight="1" x14ac:dyDescent="0.2">
      <c r="A41" s="28" t="s">
        <v>125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 spans="1:13" ht="27" customHeight="1" x14ac:dyDescent="0.2">
      <c r="A42" s="28" t="s">
        <v>146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 spans="1:13" ht="27" customHeight="1" x14ac:dyDescent="0.2">
      <c r="A43" s="28" t="s">
        <v>147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</sheetData>
  <mergeCells count="8">
    <mergeCell ref="K10:L11"/>
    <mergeCell ref="M10:M11"/>
    <mergeCell ref="A10:A11"/>
    <mergeCell ref="B10:B11"/>
    <mergeCell ref="C10:D11"/>
    <mergeCell ref="E10:F11"/>
    <mergeCell ref="G10:H11"/>
    <mergeCell ref="I10:J11"/>
  </mergeCells>
  <pageMargins left="0.23622047244094491" right="0.23622047244094491" top="0.15748031496062992" bottom="0.15748031496062992" header="0.31496062992125984" footer="0.31496062992125984"/>
  <pageSetup paperSize="9" scale="6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D5E0-C34B-4767-A056-C43C0F0F45C6}">
  <sheetPr>
    <pageSetUpPr fitToPage="1"/>
  </sheetPr>
  <dimension ref="A1:M43"/>
  <sheetViews>
    <sheetView showGridLines="0" topLeftCell="A19" zoomScale="151" zoomScaleNormal="151" workbookViewId="0">
      <selection activeCell="A42" sqref="A42:XFD43"/>
    </sheetView>
  </sheetViews>
  <sheetFormatPr baseColWidth="10" defaultColWidth="11.33203125" defaultRowHeight="15" x14ac:dyDescent="0.2"/>
  <cols>
    <col min="1" max="1" width="30.6640625" customWidth="1"/>
    <col min="2" max="3" width="10.33203125" customWidth="1"/>
    <col min="4" max="4" width="12.83203125" customWidth="1"/>
    <col min="5" max="12" width="10.33203125" customWidth="1"/>
    <col min="13" max="13" width="14.33203125" customWidth="1"/>
  </cols>
  <sheetData>
    <row r="1" spans="1:13" x14ac:dyDescent="0.2">
      <c r="A1" s="1" t="s">
        <v>0</v>
      </c>
    </row>
    <row r="3" spans="1:13" x14ac:dyDescent="0.2">
      <c r="A3" s="66" t="s">
        <v>60</v>
      </c>
      <c r="E3" t="s">
        <v>52</v>
      </c>
      <c r="G3" s="2"/>
    </row>
    <row r="4" spans="1:13" x14ac:dyDescent="0.2">
      <c r="A4" s="66" t="s">
        <v>105</v>
      </c>
      <c r="E4" s="3" t="s">
        <v>7</v>
      </c>
      <c r="G4" s="2"/>
      <c r="H4" s="37" t="s">
        <v>53</v>
      </c>
      <c r="I4" s="37"/>
    </row>
    <row r="5" spans="1:13" x14ac:dyDescent="0.2">
      <c r="A5" s="38" t="s">
        <v>58</v>
      </c>
      <c r="G5" s="2"/>
      <c r="H5" s="37" t="s">
        <v>54</v>
      </c>
      <c r="I5" s="37"/>
    </row>
    <row r="6" spans="1:13" x14ac:dyDescent="0.2">
      <c r="A6" s="38" t="s">
        <v>59</v>
      </c>
      <c r="B6" s="1"/>
      <c r="G6" s="2"/>
      <c r="H6" s="37" t="s">
        <v>55</v>
      </c>
      <c r="I6" s="37"/>
    </row>
    <row r="7" spans="1:13" x14ac:dyDescent="0.2">
      <c r="A7" s="38" t="s">
        <v>57</v>
      </c>
      <c r="B7" s="1"/>
      <c r="E7" t="s">
        <v>15</v>
      </c>
      <c r="G7" s="2"/>
      <c r="H7" s="37" t="s">
        <v>56</v>
      </c>
      <c r="I7" s="37"/>
    </row>
    <row r="8" spans="1:13" x14ac:dyDescent="0.2">
      <c r="A8" s="66" t="s">
        <v>84</v>
      </c>
      <c r="B8" s="5"/>
      <c r="E8" s="66" t="s">
        <v>87</v>
      </c>
      <c r="G8" s="2"/>
    </row>
    <row r="9" spans="1:13" ht="9" customHeight="1" x14ac:dyDescent="0.2"/>
    <row r="10" spans="1:13" ht="26.5" customHeight="1" x14ac:dyDescent="0.2">
      <c r="A10" s="91" t="s">
        <v>17</v>
      </c>
      <c r="B10" s="91" t="s">
        <v>18</v>
      </c>
      <c r="C10" s="92" t="s">
        <v>136</v>
      </c>
      <c r="D10" s="91"/>
      <c r="E10" s="91" t="s">
        <v>137</v>
      </c>
      <c r="F10" s="91"/>
      <c r="G10" s="87" t="s">
        <v>107</v>
      </c>
      <c r="H10" s="88"/>
      <c r="I10" s="87" t="s">
        <v>108</v>
      </c>
      <c r="J10" s="88"/>
      <c r="K10" s="87" t="s">
        <v>109</v>
      </c>
      <c r="L10" s="88"/>
      <c r="M10" s="91" t="s">
        <v>24</v>
      </c>
    </row>
    <row r="11" spans="1:13" x14ac:dyDescent="0.2">
      <c r="A11" s="91"/>
      <c r="B11" s="91"/>
      <c r="C11" s="91"/>
      <c r="D11" s="91"/>
      <c r="E11" s="91"/>
      <c r="F11" s="91"/>
      <c r="G11" s="89"/>
      <c r="H11" s="90"/>
      <c r="I11" s="89"/>
      <c r="J11" s="90"/>
      <c r="K11" s="89"/>
      <c r="L11" s="90"/>
      <c r="M11" s="91"/>
    </row>
    <row r="12" spans="1:13" x14ac:dyDescent="0.2">
      <c r="A12" s="6"/>
      <c r="B12" s="7"/>
      <c r="C12" s="8" t="s">
        <v>61</v>
      </c>
      <c r="D12" s="8" t="s">
        <v>26</v>
      </c>
      <c r="E12" s="58" t="s">
        <v>61</v>
      </c>
      <c r="F12" s="58" t="s">
        <v>26</v>
      </c>
      <c r="G12" s="8" t="s">
        <v>61</v>
      </c>
      <c r="H12" s="8" t="s">
        <v>26</v>
      </c>
      <c r="I12" s="8" t="s">
        <v>61</v>
      </c>
      <c r="J12" s="8" t="s">
        <v>26</v>
      </c>
      <c r="K12" s="8" t="s">
        <v>61</v>
      </c>
      <c r="L12" s="8" t="s">
        <v>26</v>
      </c>
      <c r="M12" s="9"/>
    </row>
    <row r="13" spans="1:13" ht="17" thickBot="1" x14ac:dyDescent="0.25">
      <c r="A13" s="32" t="s">
        <v>27</v>
      </c>
      <c r="B13" s="33"/>
      <c r="C13" s="83" t="s">
        <v>29</v>
      </c>
      <c r="D13" s="83" t="s">
        <v>29</v>
      </c>
      <c r="E13" s="83" t="s">
        <v>29</v>
      </c>
      <c r="F13" s="83" t="s">
        <v>29</v>
      </c>
      <c r="G13" s="83" t="s">
        <v>29</v>
      </c>
      <c r="H13" s="83" t="s">
        <v>29</v>
      </c>
      <c r="I13" s="83" t="s">
        <v>29</v>
      </c>
      <c r="J13" s="83" t="s">
        <v>29</v>
      </c>
      <c r="K13" s="83" t="s">
        <v>129</v>
      </c>
      <c r="L13" s="83" t="s">
        <v>62</v>
      </c>
      <c r="M13" s="75"/>
    </row>
    <row r="14" spans="1:13" ht="18.75" customHeight="1" x14ac:dyDescent="0.2">
      <c r="A14" s="64" t="s">
        <v>63</v>
      </c>
      <c r="B14" s="65" t="s">
        <v>64</v>
      </c>
      <c r="C14" s="41"/>
      <c r="D14" s="41"/>
      <c r="E14" s="41"/>
      <c r="F14" s="41"/>
      <c r="G14" s="41"/>
      <c r="H14" s="41"/>
      <c r="I14" s="41"/>
      <c r="J14" s="41"/>
      <c r="K14" s="41"/>
      <c r="L14" s="59"/>
      <c r="M14" s="76">
        <f>4+3+4+3+4+3+4+3+2</f>
        <v>30</v>
      </c>
    </row>
    <row r="15" spans="1:13" ht="16" thickBot="1" x14ac:dyDescent="0.25">
      <c r="A15" s="34" t="s">
        <v>35</v>
      </c>
      <c r="B15" s="7"/>
      <c r="C15" s="42"/>
      <c r="D15" s="42"/>
      <c r="E15" s="42"/>
      <c r="F15" s="43"/>
      <c r="G15" s="42"/>
      <c r="H15" s="43"/>
      <c r="I15" s="42"/>
      <c r="J15" s="42"/>
      <c r="K15" s="42">
        <v>2</v>
      </c>
      <c r="L15" s="60">
        <v>3</v>
      </c>
      <c r="M15" s="77">
        <v>5</v>
      </c>
    </row>
    <row r="16" spans="1:13" ht="18.75" customHeight="1" x14ac:dyDescent="0.2">
      <c r="A16" s="64" t="s">
        <v>66</v>
      </c>
      <c r="B16" s="65" t="s">
        <v>65</v>
      </c>
      <c r="C16" s="41"/>
      <c r="D16" s="41"/>
      <c r="E16" s="41"/>
      <c r="F16" s="41"/>
      <c r="G16" s="41"/>
      <c r="H16" s="41"/>
      <c r="I16" s="41"/>
      <c r="J16" s="41"/>
      <c r="K16" s="41"/>
      <c r="L16" s="59"/>
      <c r="M16" s="77">
        <v>30</v>
      </c>
    </row>
    <row r="17" spans="1:13" ht="18" customHeight="1" thickBot="1" x14ac:dyDescent="0.25">
      <c r="A17" s="35" t="s">
        <v>35</v>
      </c>
      <c r="B17" s="40"/>
      <c r="C17" s="44"/>
      <c r="D17" s="44"/>
      <c r="E17" s="44"/>
      <c r="F17" s="44"/>
      <c r="G17" s="44"/>
      <c r="H17" s="44"/>
      <c r="I17" s="44"/>
      <c r="J17" s="44"/>
      <c r="K17" s="44">
        <v>2</v>
      </c>
      <c r="L17" s="61">
        <v>3</v>
      </c>
      <c r="M17" s="77">
        <v>5</v>
      </c>
    </row>
    <row r="18" spans="1:13" ht="18.75" customHeight="1" x14ac:dyDescent="0.2">
      <c r="A18" s="64" t="s">
        <v>67</v>
      </c>
      <c r="B18" s="65" t="s">
        <v>85</v>
      </c>
      <c r="C18" s="41"/>
      <c r="D18" s="41"/>
      <c r="E18" s="41"/>
      <c r="F18" s="41"/>
      <c r="G18" s="41"/>
      <c r="H18" s="41"/>
      <c r="I18" s="41"/>
      <c r="J18" s="41"/>
      <c r="K18" s="41"/>
      <c r="L18" s="59"/>
      <c r="M18" s="77">
        <v>30</v>
      </c>
    </row>
    <row r="19" spans="1:13" ht="16" thickBot="1" x14ac:dyDescent="0.25">
      <c r="A19" s="35" t="s">
        <v>35</v>
      </c>
      <c r="B19" s="40"/>
      <c r="C19" s="44"/>
      <c r="D19" s="44"/>
      <c r="E19" s="44"/>
      <c r="F19" s="44"/>
      <c r="G19" s="44"/>
      <c r="H19" s="44"/>
      <c r="I19" s="44"/>
      <c r="J19" s="44"/>
      <c r="K19" s="44">
        <v>2</v>
      </c>
      <c r="L19" s="61">
        <v>3</v>
      </c>
      <c r="M19" s="77">
        <v>5</v>
      </c>
    </row>
    <row r="20" spans="1:13" ht="18.75" customHeight="1" x14ac:dyDescent="0.2">
      <c r="A20" s="64" t="s">
        <v>68</v>
      </c>
      <c r="B20" s="65" t="s">
        <v>69</v>
      </c>
      <c r="C20" s="41"/>
      <c r="D20" s="41"/>
      <c r="E20" s="41"/>
      <c r="F20" s="41"/>
      <c r="G20" s="41"/>
      <c r="H20" s="41"/>
      <c r="I20" s="41"/>
      <c r="J20" s="41"/>
      <c r="K20" s="41"/>
      <c r="L20" s="59"/>
      <c r="M20" s="77">
        <v>30</v>
      </c>
    </row>
    <row r="21" spans="1:13" ht="16" thickBot="1" x14ac:dyDescent="0.25">
      <c r="A21" s="34" t="s">
        <v>35</v>
      </c>
      <c r="B21" s="7"/>
      <c r="C21" s="45"/>
      <c r="D21" s="45"/>
      <c r="E21" s="45"/>
      <c r="F21" s="45"/>
      <c r="G21" s="45"/>
      <c r="H21" s="45"/>
      <c r="I21" s="45"/>
      <c r="J21" s="45"/>
      <c r="K21" s="45">
        <v>2</v>
      </c>
      <c r="L21" s="62">
        <v>3</v>
      </c>
      <c r="M21" s="77">
        <v>5</v>
      </c>
    </row>
    <row r="22" spans="1:13" ht="18.75" customHeight="1" x14ac:dyDescent="0.2">
      <c r="A22" s="64" t="s">
        <v>70</v>
      </c>
      <c r="B22" s="65" t="s">
        <v>86</v>
      </c>
      <c r="C22" s="41"/>
      <c r="D22" s="41"/>
      <c r="E22" s="41"/>
      <c r="F22" s="41"/>
      <c r="G22" s="41"/>
      <c r="H22" s="41"/>
      <c r="I22" s="41"/>
      <c r="J22" s="41"/>
      <c r="K22" s="41"/>
      <c r="L22" s="59"/>
      <c r="M22" s="77">
        <v>30</v>
      </c>
    </row>
    <row r="23" spans="1:13" ht="16" thickBot="1" x14ac:dyDescent="0.25">
      <c r="A23" s="34" t="s">
        <v>35</v>
      </c>
      <c r="B23" s="7"/>
      <c r="C23" s="45"/>
      <c r="D23" s="45"/>
      <c r="E23" s="45"/>
      <c r="F23" s="45"/>
      <c r="G23" s="45"/>
      <c r="H23" s="45"/>
      <c r="I23" s="45"/>
      <c r="J23" s="45"/>
      <c r="K23" s="45">
        <v>2</v>
      </c>
      <c r="L23" s="62">
        <v>3</v>
      </c>
      <c r="M23" s="77">
        <v>5</v>
      </c>
    </row>
    <row r="24" spans="1:13" ht="18.75" customHeight="1" x14ac:dyDescent="0.2">
      <c r="A24" s="64" t="s">
        <v>71</v>
      </c>
      <c r="B24" s="65" t="s">
        <v>72</v>
      </c>
      <c r="C24" s="41"/>
      <c r="D24" s="41"/>
      <c r="E24" s="41"/>
      <c r="F24" s="41"/>
      <c r="G24" s="41"/>
      <c r="H24" s="41"/>
      <c r="I24" s="41"/>
      <c r="J24" s="41"/>
      <c r="K24" s="41"/>
      <c r="L24" s="59"/>
      <c r="M24" s="77">
        <v>30</v>
      </c>
    </row>
    <row r="25" spans="1:13" ht="16" thickBot="1" x14ac:dyDescent="0.25">
      <c r="A25" s="34" t="s">
        <v>35</v>
      </c>
      <c r="B25" s="7"/>
      <c r="C25" s="45"/>
      <c r="D25" s="45"/>
      <c r="E25" s="45"/>
      <c r="F25" s="45"/>
      <c r="G25" s="45"/>
      <c r="H25" s="45"/>
      <c r="I25" s="45"/>
      <c r="J25" s="45"/>
      <c r="K25" s="45">
        <v>2</v>
      </c>
      <c r="L25" s="62">
        <v>3</v>
      </c>
      <c r="M25" s="77">
        <v>5</v>
      </c>
    </row>
    <row r="26" spans="1:13" ht="18.75" customHeight="1" x14ac:dyDescent="0.2">
      <c r="A26" s="64" t="s">
        <v>73</v>
      </c>
      <c r="B26" s="65" t="s">
        <v>74</v>
      </c>
      <c r="C26" s="41"/>
      <c r="D26" s="41"/>
      <c r="E26" s="41"/>
      <c r="F26" s="41"/>
      <c r="G26" s="41"/>
      <c r="H26" s="41"/>
      <c r="I26" s="41"/>
      <c r="J26" s="41"/>
      <c r="K26" s="41"/>
      <c r="L26" s="59"/>
      <c r="M26" s="77">
        <v>30</v>
      </c>
    </row>
    <row r="27" spans="1:13" ht="16" thickBot="1" x14ac:dyDescent="0.25">
      <c r="A27" s="34" t="s">
        <v>35</v>
      </c>
      <c r="B27" s="7"/>
      <c r="C27" s="45"/>
      <c r="D27" s="45"/>
      <c r="E27" s="45"/>
      <c r="F27" s="45"/>
      <c r="G27" s="45"/>
      <c r="H27" s="45"/>
      <c r="I27" s="45"/>
      <c r="J27" s="45"/>
      <c r="K27" s="45">
        <v>2</v>
      </c>
      <c r="L27" s="62">
        <v>3</v>
      </c>
      <c r="M27" s="77">
        <v>5</v>
      </c>
    </row>
    <row r="28" spans="1:13" ht="20.25" customHeight="1" x14ac:dyDescent="0.2">
      <c r="A28" s="64" t="s">
        <v>75</v>
      </c>
      <c r="B28" s="65" t="s">
        <v>76</v>
      </c>
      <c r="C28" s="41"/>
      <c r="D28" s="41"/>
      <c r="E28" s="41"/>
      <c r="F28" s="41"/>
      <c r="G28" s="41"/>
      <c r="H28" s="41"/>
      <c r="I28" s="41"/>
      <c r="J28" s="41"/>
      <c r="K28" s="41"/>
      <c r="L28" s="59"/>
      <c r="M28" s="77">
        <v>30</v>
      </c>
    </row>
    <row r="29" spans="1:13" ht="16" thickBot="1" x14ac:dyDescent="0.25">
      <c r="A29" s="35" t="s">
        <v>35</v>
      </c>
      <c r="B29" s="40"/>
      <c r="C29" s="44"/>
      <c r="D29" s="44"/>
      <c r="E29" s="44"/>
      <c r="F29" s="44"/>
      <c r="G29" s="63"/>
      <c r="H29" s="44"/>
      <c r="I29" s="44"/>
      <c r="J29" s="44"/>
      <c r="K29" s="44">
        <v>2</v>
      </c>
      <c r="L29" s="61">
        <v>3</v>
      </c>
      <c r="M29" s="78">
        <v>5</v>
      </c>
    </row>
    <row r="30" spans="1:13" ht="18.75" customHeight="1" x14ac:dyDescent="0.2">
      <c r="A30" s="64" t="s">
        <v>77</v>
      </c>
      <c r="B30" s="65" t="s">
        <v>78</v>
      </c>
      <c r="C30" s="41"/>
      <c r="D30" s="41"/>
      <c r="E30" s="41"/>
      <c r="F30" s="41"/>
      <c r="G30" s="41"/>
      <c r="H30" s="41"/>
      <c r="I30" s="41"/>
      <c r="J30" s="41"/>
      <c r="K30" s="41"/>
      <c r="L30" s="59"/>
      <c r="M30" s="77">
        <v>30</v>
      </c>
    </row>
    <row r="31" spans="1:13" ht="16" thickBot="1" x14ac:dyDescent="0.25">
      <c r="A31" s="34" t="s">
        <v>35</v>
      </c>
      <c r="B31" s="7"/>
      <c r="C31" s="45"/>
      <c r="D31" s="45"/>
      <c r="E31" s="45"/>
      <c r="F31" s="45"/>
      <c r="G31" s="45"/>
      <c r="H31" s="45"/>
      <c r="I31" s="45"/>
      <c r="J31" s="45"/>
      <c r="K31" s="45">
        <v>2</v>
      </c>
      <c r="L31" s="62">
        <v>3</v>
      </c>
      <c r="M31" s="77">
        <v>5</v>
      </c>
    </row>
    <row r="32" spans="1:13" ht="18.75" customHeight="1" x14ac:dyDescent="0.2">
      <c r="A32" s="64" t="s">
        <v>79</v>
      </c>
      <c r="B32" s="65" t="s">
        <v>80</v>
      </c>
      <c r="C32" s="41"/>
      <c r="D32" s="41"/>
      <c r="E32" s="41"/>
      <c r="F32" s="41"/>
      <c r="G32" s="41"/>
      <c r="H32" s="41"/>
      <c r="I32" s="41"/>
      <c r="J32" s="41"/>
      <c r="K32" s="41"/>
      <c r="L32" s="59"/>
      <c r="M32" s="77">
        <v>30</v>
      </c>
    </row>
    <row r="33" spans="1:13" ht="16" thickBot="1" x14ac:dyDescent="0.25">
      <c r="A33" s="34" t="s">
        <v>35</v>
      </c>
      <c r="B33" s="7"/>
      <c r="C33" s="45"/>
      <c r="D33" s="45"/>
      <c r="E33" s="45"/>
      <c r="F33" s="45"/>
      <c r="G33" s="45"/>
      <c r="H33" s="45"/>
      <c r="I33" s="45"/>
      <c r="J33" s="45"/>
      <c r="K33" s="45">
        <v>2</v>
      </c>
      <c r="L33" s="62">
        <v>3</v>
      </c>
      <c r="M33" s="77">
        <v>5</v>
      </c>
    </row>
    <row r="34" spans="1:13" ht="20.25" customHeight="1" x14ac:dyDescent="0.2">
      <c r="A34" s="64" t="s">
        <v>81</v>
      </c>
      <c r="B34" s="65" t="s">
        <v>82</v>
      </c>
      <c r="C34" s="41"/>
      <c r="D34" s="41"/>
      <c r="E34" s="41"/>
      <c r="F34" s="41"/>
      <c r="G34" s="41"/>
      <c r="H34" s="41"/>
      <c r="I34" s="41"/>
      <c r="J34" s="41"/>
      <c r="K34" s="41"/>
      <c r="L34" s="59"/>
      <c r="M34" s="77">
        <v>30</v>
      </c>
    </row>
    <row r="35" spans="1:13" ht="16" thickBot="1" x14ac:dyDescent="0.25">
      <c r="A35" s="35" t="s">
        <v>35</v>
      </c>
      <c r="B35" s="40"/>
      <c r="C35" s="44"/>
      <c r="D35" s="44"/>
      <c r="E35" s="44"/>
      <c r="F35" s="44"/>
      <c r="G35" s="63"/>
      <c r="H35" s="44"/>
      <c r="I35" s="44"/>
      <c r="J35" s="44"/>
      <c r="K35" s="44">
        <v>2</v>
      </c>
      <c r="L35" s="61">
        <v>3</v>
      </c>
      <c r="M35" s="78">
        <v>5</v>
      </c>
    </row>
    <row r="36" spans="1:13" ht="20.25" customHeight="1" x14ac:dyDescent="0.2">
      <c r="A36" s="81" t="s">
        <v>119</v>
      </c>
      <c r="B36" s="82" t="s">
        <v>83</v>
      </c>
      <c r="C36" s="41"/>
      <c r="D36" s="41"/>
      <c r="E36" s="41"/>
      <c r="F36" s="41"/>
      <c r="G36" s="41"/>
      <c r="H36" s="41"/>
      <c r="I36" s="41"/>
      <c r="J36" s="41"/>
      <c r="K36" s="41"/>
      <c r="L36" s="59"/>
      <c r="M36" s="77">
        <v>30</v>
      </c>
    </row>
    <row r="37" spans="1:13" ht="16" thickBot="1" x14ac:dyDescent="0.25">
      <c r="A37" s="67" t="s">
        <v>35</v>
      </c>
      <c r="B37" s="18"/>
      <c r="C37" s="42"/>
      <c r="D37" s="42"/>
      <c r="E37" s="42"/>
      <c r="F37" s="42"/>
      <c r="G37" s="80"/>
      <c r="H37" s="42"/>
      <c r="I37" s="42"/>
      <c r="J37" s="42"/>
      <c r="K37" s="42">
        <v>2</v>
      </c>
      <c r="L37" s="60">
        <v>3</v>
      </c>
      <c r="M37" s="79">
        <v>5</v>
      </c>
    </row>
    <row r="38" spans="1:13" x14ac:dyDescent="0.2">
      <c r="A38" s="68"/>
      <c r="B38" s="69"/>
      <c r="C38" s="69"/>
      <c r="D38" s="69"/>
      <c r="E38" s="69"/>
      <c r="F38" s="69"/>
      <c r="G38" s="70"/>
      <c r="H38" s="69"/>
      <c r="I38" s="69"/>
      <c r="J38" s="69"/>
      <c r="K38" s="69"/>
      <c r="L38" s="69"/>
      <c r="M38" s="71"/>
    </row>
    <row r="39" spans="1:13" ht="16" thickBot="1" x14ac:dyDescent="0.25">
      <c r="A39" s="72" t="s">
        <v>45</v>
      </c>
      <c r="B39" s="73"/>
      <c r="C39" s="73">
        <f>12*4</f>
        <v>48</v>
      </c>
      <c r="D39" s="73">
        <f>12*3</f>
        <v>36</v>
      </c>
      <c r="E39" s="73">
        <v>48</v>
      </c>
      <c r="F39" s="73">
        <v>36</v>
      </c>
      <c r="G39" s="73">
        <f>12*4</f>
        <v>48</v>
      </c>
      <c r="H39" s="73">
        <f>12*3</f>
        <v>36</v>
      </c>
      <c r="I39" s="73">
        <v>48</v>
      </c>
      <c r="J39" s="73">
        <v>36</v>
      </c>
      <c r="K39" s="73">
        <v>48</v>
      </c>
      <c r="L39" s="73">
        <v>36</v>
      </c>
      <c r="M39" s="74">
        <v>420</v>
      </c>
    </row>
    <row r="40" spans="1:13" ht="22.5" customHeight="1" x14ac:dyDescent="0.2">
      <c r="A40" s="36" t="s">
        <v>47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 spans="1:13" ht="27" customHeight="1" x14ac:dyDescent="0.2">
      <c r="A41" s="28" t="s">
        <v>125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 spans="1:13" ht="27" customHeight="1" x14ac:dyDescent="0.2">
      <c r="A42" s="28" t="s">
        <v>146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 spans="1:13" ht="27" customHeight="1" x14ac:dyDescent="0.2">
      <c r="A43" s="28" t="s">
        <v>147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</sheetData>
  <mergeCells count="8">
    <mergeCell ref="K10:L11"/>
    <mergeCell ref="M10:M11"/>
    <mergeCell ref="A10:A11"/>
    <mergeCell ref="B10:B11"/>
    <mergeCell ref="C10:D11"/>
    <mergeCell ref="E10:F11"/>
    <mergeCell ref="G10:H11"/>
    <mergeCell ref="I10:J11"/>
  </mergeCells>
  <pageMargins left="0.23622047244094491" right="0.23622047244094491" top="0.15748031496062992" bottom="0.15748031496062992" header="0.31496062992125984" footer="0.31496062992125984"/>
  <pageSetup paperSize="9" scale="6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67B30-12FC-447E-93E6-CE42E777DB7F}">
  <sheetPr>
    <pageSetUpPr fitToPage="1"/>
  </sheetPr>
  <dimension ref="A1:M43"/>
  <sheetViews>
    <sheetView showGridLines="0" topLeftCell="A22" zoomScale="151" zoomScaleNormal="151" workbookViewId="0">
      <selection activeCell="A42" sqref="A42:XFD43"/>
    </sheetView>
  </sheetViews>
  <sheetFormatPr baseColWidth="10" defaultColWidth="11.33203125" defaultRowHeight="15" x14ac:dyDescent="0.2"/>
  <cols>
    <col min="1" max="1" width="30.6640625" customWidth="1"/>
    <col min="2" max="3" width="10.33203125" customWidth="1"/>
    <col min="4" max="4" width="12.83203125" customWidth="1"/>
    <col min="5" max="12" width="10.33203125" customWidth="1"/>
    <col min="13" max="13" width="14.33203125" customWidth="1"/>
  </cols>
  <sheetData>
    <row r="1" spans="1:13" x14ac:dyDescent="0.2">
      <c r="A1" s="1" t="s">
        <v>0</v>
      </c>
    </row>
    <row r="3" spans="1:13" x14ac:dyDescent="0.2">
      <c r="A3" s="66" t="s">
        <v>60</v>
      </c>
      <c r="E3" t="s">
        <v>52</v>
      </c>
      <c r="G3" s="2"/>
    </row>
    <row r="4" spans="1:13" x14ac:dyDescent="0.2">
      <c r="A4" s="66" t="s">
        <v>105</v>
      </c>
      <c r="E4" s="3" t="s">
        <v>7</v>
      </c>
      <c r="G4" s="2"/>
      <c r="H4" s="37" t="s">
        <v>53</v>
      </c>
      <c r="I4" s="37"/>
    </row>
    <row r="5" spans="1:13" x14ac:dyDescent="0.2">
      <c r="A5" s="38" t="s">
        <v>58</v>
      </c>
      <c r="G5" s="2"/>
      <c r="H5" s="37" t="s">
        <v>54</v>
      </c>
      <c r="I5" s="37"/>
    </row>
    <row r="6" spans="1:13" x14ac:dyDescent="0.2">
      <c r="A6" s="38" t="s">
        <v>59</v>
      </c>
      <c r="B6" s="1"/>
      <c r="G6" s="2"/>
      <c r="H6" s="37" t="s">
        <v>55</v>
      </c>
      <c r="I6" s="37"/>
    </row>
    <row r="7" spans="1:13" x14ac:dyDescent="0.2">
      <c r="A7" s="38" t="s">
        <v>57</v>
      </c>
      <c r="B7" s="1"/>
      <c r="E7" t="s">
        <v>15</v>
      </c>
      <c r="G7" s="2"/>
      <c r="H7" s="37" t="s">
        <v>56</v>
      </c>
      <c r="I7" s="37"/>
    </row>
    <row r="8" spans="1:13" x14ac:dyDescent="0.2">
      <c r="A8" s="66" t="s">
        <v>84</v>
      </c>
      <c r="B8" s="5"/>
      <c r="E8" s="66" t="s">
        <v>87</v>
      </c>
      <c r="G8" s="2"/>
    </row>
    <row r="9" spans="1:13" ht="9" customHeight="1" x14ac:dyDescent="0.2"/>
    <row r="10" spans="1:13" ht="26.5" customHeight="1" x14ac:dyDescent="0.2">
      <c r="A10" s="91" t="s">
        <v>17</v>
      </c>
      <c r="B10" s="91" t="s">
        <v>18</v>
      </c>
      <c r="C10" s="92" t="s">
        <v>138</v>
      </c>
      <c r="D10" s="91"/>
      <c r="E10" s="91" t="s">
        <v>139</v>
      </c>
      <c r="F10" s="91"/>
      <c r="G10" s="87" t="s">
        <v>110</v>
      </c>
      <c r="H10" s="88"/>
      <c r="I10" s="87" t="s">
        <v>111</v>
      </c>
      <c r="J10" s="88"/>
      <c r="K10" s="87" t="s">
        <v>112</v>
      </c>
      <c r="L10" s="88"/>
      <c r="M10" s="91" t="s">
        <v>24</v>
      </c>
    </row>
    <row r="11" spans="1:13" x14ac:dyDescent="0.2">
      <c r="A11" s="91"/>
      <c r="B11" s="91"/>
      <c r="C11" s="91"/>
      <c r="D11" s="91"/>
      <c r="E11" s="91"/>
      <c r="F11" s="91"/>
      <c r="G11" s="89"/>
      <c r="H11" s="90"/>
      <c r="I11" s="89"/>
      <c r="J11" s="90"/>
      <c r="K11" s="89"/>
      <c r="L11" s="90"/>
      <c r="M11" s="91"/>
    </row>
    <row r="12" spans="1:13" x14ac:dyDescent="0.2">
      <c r="A12" s="6"/>
      <c r="B12" s="7"/>
      <c r="C12" s="8" t="s">
        <v>61</v>
      </c>
      <c r="D12" s="8" t="s">
        <v>26</v>
      </c>
      <c r="E12" s="58" t="s">
        <v>61</v>
      </c>
      <c r="F12" s="58" t="s">
        <v>26</v>
      </c>
      <c r="G12" s="8" t="s">
        <v>61</v>
      </c>
      <c r="H12" s="8" t="s">
        <v>26</v>
      </c>
      <c r="I12" s="8" t="s">
        <v>61</v>
      </c>
      <c r="J12" s="8" t="s">
        <v>26</v>
      </c>
      <c r="K12" s="8" t="s">
        <v>61</v>
      </c>
      <c r="L12" s="8" t="s">
        <v>26</v>
      </c>
      <c r="M12" s="9"/>
    </row>
    <row r="13" spans="1:13" ht="17" thickBot="1" x14ac:dyDescent="0.25">
      <c r="A13" s="32" t="s">
        <v>27</v>
      </c>
      <c r="B13" s="33"/>
      <c r="C13" s="83" t="s">
        <v>29</v>
      </c>
      <c r="D13" s="83" t="s">
        <v>29</v>
      </c>
      <c r="E13" s="83" t="s">
        <v>29</v>
      </c>
      <c r="F13" s="83" t="s">
        <v>29</v>
      </c>
      <c r="G13" s="83" t="s">
        <v>29</v>
      </c>
      <c r="H13" s="83" t="s">
        <v>29</v>
      </c>
      <c r="I13" s="83" t="s">
        <v>140</v>
      </c>
      <c r="J13" s="83" t="s">
        <v>30</v>
      </c>
      <c r="K13" s="83" t="s">
        <v>30</v>
      </c>
      <c r="L13" s="83" t="s">
        <v>30</v>
      </c>
      <c r="M13" s="75"/>
    </row>
    <row r="14" spans="1:13" ht="18.75" customHeight="1" x14ac:dyDescent="0.2">
      <c r="A14" s="64" t="s">
        <v>63</v>
      </c>
      <c r="B14" s="65" t="s">
        <v>64</v>
      </c>
      <c r="C14" s="41"/>
      <c r="D14" s="41"/>
      <c r="E14" s="41"/>
      <c r="F14" s="41"/>
      <c r="G14" s="41"/>
      <c r="H14" s="41"/>
      <c r="I14" s="41"/>
      <c r="J14" s="41"/>
      <c r="K14" s="41"/>
      <c r="L14" s="59"/>
      <c r="M14" s="76">
        <v>35</v>
      </c>
    </row>
    <row r="15" spans="1:13" ht="16" thickBot="1" x14ac:dyDescent="0.25">
      <c r="A15" s="34" t="s">
        <v>35</v>
      </c>
      <c r="B15" s="7"/>
      <c r="C15" s="42"/>
      <c r="D15" s="42"/>
      <c r="E15" s="42"/>
      <c r="F15" s="43"/>
      <c r="G15" s="42"/>
      <c r="H15" s="43"/>
      <c r="I15" s="42"/>
      <c r="J15" s="42"/>
      <c r="K15" s="42"/>
      <c r="L15" s="60"/>
      <c r="M15" s="77"/>
    </row>
    <row r="16" spans="1:13" ht="18.75" customHeight="1" x14ac:dyDescent="0.2">
      <c r="A16" s="64" t="s">
        <v>66</v>
      </c>
      <c r="B16" s="65" t="s">
        <v>65</v>
      </c>
      <c r="C16" s="41"/>
      <c r="D16" s="41"/>
      <c r="E16" s="41"/>
      <c r="F16" s="41"/>
      <c r="G16" s="41"/>
      <c r="H16" s="41"/>
      <c r="I16" s="41"/>
      <c r="J16" s="41"/>
      <c r="K16" s="41"/>
      <c r="L16" s="59"/>
      <c r="M16" s="77">
        <v>35</v>
      </c>
    </row>
    <row r="17" spans="1:13" ht="18" customHeight="1" thickBot="1" x14ac:dyDescent="0.25">
      <c r="A17" s="35" t="s">
        <v>35</v>
      </c>
      <c r="B17" s="40"/>
      <c r="C17" s="44"/>
      <c r="D17" s="44"/>
      <c r="E17" s="44"/>
      <c r="F17" s="44"/>
      <c r="G17" s="44"/>
      <c r="H17" s="44"/>
      <c r="I17" s="44"/>
      <c r="J17" s="44"/>
      <c r="K17" s="44"/>
      <c r="L17" s="61"/>
      <c r="M17" s="77"/>
    </row>
    <row r="18" spans="1:13" ht="18.75" customHeight="1" x14ac:dyDescent="0.2">
      <c r="A18" s="64" t="s">
        <v>67</v>
      </c>
      <c r="B18" s="65" t="s">
        <v>85</v>
      </c>
      <c r="C18" s="41"/>
      <c r="D18" s="41"/>
      <c r="E18" s="41"/>
      <c r="F18" s="41"/>
      <c r="G18" s="41"/>
      <c r="H18" s="41"/>
      <c r="I18" s="41"/>
      <c r="J18" s="41"/>
      <c r="K18" s="41"/>
      <c r="L18" s="59"/>
      <c r="M18" s="77">
        <v>35</v>
      </c>
    </row>
    <row r="19" spans="1:13" ht="16" thickBot="1" x14ac:dyDescent="0.25">
      <c r="A19" s="35" t="s">
        <v>35</v>
      </c>
      <c r="B19" s="40"/>
      <c r="C19" s="44"/>
      <c r="D19" s="44"/>
      <c r="E19" s="44"/>
      <c r="F19" s="44"/>
      <c r="G19" s="44"/>
      <c r="H19" s="44"/>
      <c r="I19" s="44"/>
      <c r="J19" s="44"/>
      <c r="K19" s="44"/>
      <c r="L19" s="61"/>
      <c r="M19" s="77"/>
    </row>
    <row r="20" spans="1:13" ht="18.75" customHeight="1" x14ac:dyDescent="0.2">
      <c r="A20" s="64" t="s">
        <v>68</v>
      </c>
      <c r="B20" s="65" t="s">
        <v>69</v>
      </c>
      <c r="C20" s="41"/>
      <c r="D20" s="41"/>
      <c r="E20" s="41"/>
      <c r="F20" s="41"/>
      <c r="G20" s="41"/>
      <c r="H20" s="41"/>
      <c r="I20" s="41"/>
      <c r="J20" s="41"/>
      <c r="K20" s="41"/>
      <c r="L20" s="59"/>
      <c r="M20" s="77">
        <v>35</v>
      </c>
    </row>
    <row r="21" spans="1:13" ht="16" thickBot="1" x14ac:dyDescent="0.25">
      <c r="A21" s="34" t="s">
        <v>35</v>
      </c>
      <c r="B21" s="7"/>
      <c r="C21" s="45"/>
      <c r="D21" s="45"/>
      <c r="E21" s="45"/>
      <c r="F21" s="45"/>
      <c r="G21" s="45"/>
      <c r="H21" s="45"/>
      <c r="I21" s="45"/>
      <c r="J21" s="45"/>
      <c r="K21" s="45"/>
      <c r="L21" s="62"/>
      <c r="M21" s="77"/>
    </row>
    <row r="22" spans="1:13" ht="18.75" customHeight="1" x14ac:dyDescent="0.2">
      <c r="A22" s="64" t="s">
        <v>70</v>
      </c>
      <c r="B22" s="65" t="s">
        <v>86</v>
      </c>
      <c r="C22" s="41"/>
      <c r="D22" s="41"/>
      <c r="E22" s="41"/>
      <c r="F22" s="41"/>
      <c r="G22" s="41"/>
      <c r="H22" s="41"/>
      <c r="I22" s="41"/>
      <c r="J22" s="41"/>
      <c r="K22" s="41"/>
      <c r="L22" s="59"/>
      <c r="M22" s="77">
        <v>35</v>
      </c>
    </row>
    <row r="23" spans="1:13" ht="16" thickBot="1" x14ac:dyDescent="0.25">
      <c r="A23" s="34" t="s">
        <v>35</v>
      </c>
      <c r="B23" s="7"/>
      <c r="C23" s="45"/>
      <c r="D23" s="45"/>
      <c r="E23" s="45"/>
      <c r="F23" s="45"/>
      <c r="G23" s="45"/>
      <c r="H23" s="45"/>
      <c r="I23" s="45"/>
      <c r="J23" s="45"/>
      <c r="K23" s="45"/>
      <c r="L23" s="62"/>
      <c r="M23" s="77"/>
    </row>
    <row r="24" spans="1:13" ht="18.75" customHeight="1" x14ac:dyDescent="0.2">
      <c r="A24" s="64" t="s">
        <v>71</v>
      </c>
      <c r="B24" s="65" t="s">
        <v>72</v>
      </c>
      <c r="C24" s="41"/>
      <c r="D24" s="41"/>
      <c r="E24" s="41"/>
      <c r="F24" s="41"/>
      <c r="G24" s="41"/>
      <c r="H24" s="41"/>
      <c r="I24" s="41"/>
      <c r="J24" s="41"/>
      <c r="K24" s="41"/>
      <c r="L24" s="59"/>
      <c r="M24" s="77">
        <v>35</v>
      </c>
    </row>
    <row r="25" spans="1:13" ht="16" thickBot="1" x14ac:dyDescent="0.25">
      <c r="A25" s="34" t="s">
        <v>35</v>
      </c>
      <c r="B25" s="7"/>
      <c r="C25" s="45"/>
      <c r="D25" s="45"/>
      <c r="E25" s="45"/>
      <c r="F25" s="45"/>
      <c r="G25" s="45"/>
      <c r="H25" s="45"/>
      <c r="I25" s="45"/>
      <c r="J25" s="45"/>
      <c r="K25" s="45"/>
      <c r="L25" s="62"/>
      <c r="M25" s="77"/>
    </row>
    <row r="26" spans="1:13" ht="18.75" customHeight="1" x14ac:dyDescent="0.2">
      <c r="A26" s="64" t="s">
        <v>73</v>
      </c>
      <c r="B26" s="65" t="s">
        <v>74</v>
      </c>
      <c r="C26" s="41"/>
      <c r="D26" s="41"/>
      <c r="E26" s="41"/>
      <c r="F26" s="41"/>
      <c r="G26" s="41"/>
      <c r="H26" s="41"/>
      <c r="I26" s="41"/>
      <c r="J26" s="41"/>
      <c r="K26" s="41"/>
      <c r="L26" s="59"/>
      <c r="M26" s="77">
        <v>35</v>
      </c>
    </row>
    <row r="27" spans="1:13" ht="16" thickBot="1" x14ac:dyDescent="0.25">
      <c r="A27" s="34" t="s">
        <v>35</v>
      </c>
      <c r="B27" s="7"/>
      <c r="C27" s="45"/>
      <c r="D27" s="45"/>
      <c r="E27" s="45"/>
      <c r="F27" s="45"/>
      <c r="G27" s="45"/>
      <c r="H27" s="45"/>
      <c r="I27" s="45"/>
      <c r="J27" s="45"/>
      <c r="K27" s="45"/>
      <c r="L27" s="62"/>
      <c r="M27" s="77"/>
    </row>
    <row r="28" spans="1:13" ht="20.25" customHeight="1" x14ac:dyDescent="0.2">
      <c r="A28" s="64" t="s">
        <v>75</v>
      </c>
      <c r="B28" s="65" t="s">
        <v>76</v>
      </c>
      <c r="C28" s="41"/>
      <c r="D28" s="41"/>
      <c r="E28" s="41"/>
      <c r="F28" s="41"/>
      <c r="G28" s="41"/>
      <c r="H28" s="41"/>
      <c r="I28" s="41"/>
      <c r="J28" s="41"/>
      <c r="K28" s="41"/>
      <c r="L28" s="59"/>
      <c r="M28" s="77">
        <v>35</v>
      </c>
    </row>
    <row r="29" spans="1:13" ht="16" thickBot="1" x14ac:dyDescent="0.25">
      <c r="A29" s="35" t="s">
        <v>35</v>
      </c>
      <c r="B29" s="40"/>
      <c r="C29" s="44"/>
      <c r="D29" s="44"/>
      <c r="E29" s="44"/>
      <c r="F29" s="44"/>
      <c r="G29" s="63"/>
      <c r="H29" s="44"/>
      <c r="I29" s="44"/>
      <c r="J29" s="44"/>
      <c r="K29" s="44"/>
      <c r="L29" s="61"/>
      <c r="M29" s="78"/>
    </row>
    <row r="30" spans="1:13" ht="18.75" customHeight="1" x14ac:dyDescent="0.2">
      <c r="A30" s="64" t="s">
        <v>77</v>
      </c>
      <c r="B30" s="65" t="s">
        <v>78</v>
      </c>
      <c r="C30" s="41"/>
      <c r="D30" s="41"/>
      <c r="E30" s="41"/>
      <c r="F30" s="41"/>
      <c r="G30" s="41"/>
      <c r="H30" s="41"/>
      <c r="I30" s="41"/>
      <c r="J30" s="41"/>
      <c r="K30" s="41"/>
      <c r="L30" s="59"/>
      <c r="M30" s="77">
        <v>35</v>
      </c>
    </row>
    <row r="31" spans="1:13" ht="16" thickBot="1" x14ac:dyDescent="0.25">
      <c r="A31" s="34" t="s">
        <v>35</v>
      </c>
      <c r="B31" s="7"/>
      <c r="C31" s="45"/>
      <c r="D31" s="45"/>
      <c r="E31" s="45"/>
      <c r="F31" s="45"/>
      <c r="G31" s="45"/>
      <c r="H31" s="45"/>
      <c r="I31" s="45"/>
      <c r="J31" s="45"/>
      <c r="K31" s="45"/>
      <c r="L31" s="62"/>
      <c r="M31" s="77"/>
    </row>
    <row r="32" spans="1:13" ht="18.75" customHeight="1" x14ac:dyDescent="0.2">
      <c r="A32" s="64" t="s">
        <v>79</v>
      </c>
      <c r="B32" s="65" t="s">
        <v>80</v>
      </c>
      <c r="C32" s="41"/>
      <c r="D32" s="41"/>
      <c r="E32" s="41"/>
      <c r="F32" s="41"/>
      <c r="G32" s="41"/>
      <c r="H32" s="41"/>
      <c r="I32" s="41"/>
      <c r="J32" s="41"/>
      <c r="K32" s="41"/>
      <c r="L32" s="59"/>
      <c r="M32" s="77">
        <v>35</v>
      </c>
    </row>
    <row r="33" spans="1:13" ht="16" thickBot="1" x14ac:dyDescent="0.25">
      <c r="A33" s="34" t="s">
        <v>35</v>
      </c>
      <c r="B33" s="7"/>
      <c r="C33" s="45"/>
      <c r="D33" s="45"/>
      <c r="E33" s="45"/>
      <c r="F33" s="45"/>
      <c r="G33" s="45"/>
      <c r="H33" s="45"/>
      <c r="I33" s="45"/>
      <c r="J33" s="45"/>
      <c r="K33" s="45"/>
      <c r="L33" s="62"/>
      <c r="M33" s="77"/>
    </row>
    <row r="34" spans="1:13" ht="20.25" customHeight="1" x14ac:dyDescent="0.2">
      <c r="A34" s="64" t="s">
        <v>81</v>
      </c>
      <c r="B34" s="65" t="s">
        <v>82</v>
      </c>
      <c r="C34" s="41"/>
      <c r="D34" s="41"/>
      <c r="E34" s="41"/>
      <c r="F34" s="41"/>
      <c r="G34" s="41"/>
      <c r="H34" s="41"/>
      <c r="I34" s="41"/>
      <c r="J34" s="41"/>
      <c r="K34" s="41"/>
      <c r="L34" s="59"/>
      <c r="M34" s="77">
        <v>35</v>
      </c>
    </row>
    <row r="35" spans="1:13" ht="16" thickBot="1" x14ac:dyDescent="0.25">
      <c r="A35" s="35" t="s">
        <v>35</v>
      </c>
      <c r="B35" s="40"/>
      <c r="C35" s="44"/>
      <c r="D35" s="44"/>
      <c r="E35" s="44"/>
      <c r="F35" s="44"/>
      <c r="G35" s="63"/>
      <c r="H35" s="44"/>
      <c r="I35" s="44"/>
      <c r="J35" s="44"/>
      <c r="K35" s="44"/>
      <c r="L35" s="61"/>
      <c r="M35" s="78"/>
    </row>
    <row r="36" spans="1:13" ht="20.25" customHeight="1" x14ac:dyDescent="0.2">
      <c r="A36" s="81" t="s">
        <v>119</v>
      </c>
      <c r="B36" s="82" t="s">
        <v>83</v>
      </c>
      <c r="C36" s="41"/>
      <c r="D36" s="41"/>
      <c r="E36" s="41"/>
      <c r="F36" s="41"/>
      <c r="G36" s="41"/>
      <c r="H36" s="41"/>
      <c r="I36" s="41"/>
      <c r="J36" s="41"/>
      <c r="K36" s="41"/>
      <c r="L36" s="59"/>
      <c r="M36" s="77">
        <v>35</v>
      </c>
    </row>
    <row r="37" spans="1:13" ht="16" thickBot="1" x14ac:dyDescent="0.25">
      <c r="A37" s="67" t="s">
        <v>35</v>
      </c>
      <c r="B37" s="18"/>
      <c r="C37" s="42"/>
      <c r="D37" s="42"/>
      <c r="E37" s="42"/>
      <c r="F37" s="42"/>
      <c r="G37" s="80"/>
      <c r="H37" s="42"/>
      <c r="I37" s="42"/>
      <c r="J37" s="42"/>
      <c r="K37" s="42"/>
      <c r="L37" s="60"/>
      <c r="M37" s="79"/>
    </row>
    <row r="38" spans="1:13" x14ac:dyDescent="0.2">
      <c r="A38" s="68"/>
      <c r="B38" s="69"/>
      <c r="C38" s="69"/>
      <c r="D38" s="69"/>
      <c r="E38" s="69"/>
      <c r="F38" s="69"/>
      <c r="G38" s="70"/>
      <c r="H38" s="69"/>
      <c r="I38" s="69"/>
      <c r="J38" s="69"/>
      <c r="K38" s="69"/>
      <c r="L38" s="69"/>
      <c r="M38" s="71"/>
    </row>
    <row r="39" spans="1:13" ht="16" thickBot="1" x14ac:dyDescent="0.25">
      <c r="A39" s="72" t="s">
        <v>45</v>
      </c>
      <c r="B39" s="73"/>
      <c r="C39" s="73">
        <f>12*4</f>
        <v>48</v>
      </c>
      <c r="D39" s="73">
        <f>12*3</f>
        <v>36</v>
      </c>
      <c r="E39" s="73">
        <v>48</v>
      </c>
      <c r="F39" s="73">
        <v>36</v>
      </c>
      <c r="G39" s="73">
        <f>12*4</f>
        <v>48</v>
      </c>
      <c r="H39" s="73">
        <f>12*3</f>
        <v>36</v>
      </c>
      <c r="I39" s="73">
        <v>48</v>
      </c>
      <c r="J39" s="73">
        <v>36</v>
      </c>
      <c r="K39" s="73">
        <v>48</v>
      </c>
      <c r="L39" s="73">
        <v>36</v>
      </c>
      <c r="M39" s="74">
        <v>420</v>
      </c>
    </row>
    <row r="40" spans="1:13" ht="22.5" customHeight="1" x14ac:dyDescent="0.2">
      <c r="A40" s="36" t="s">
        <v>47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 spans="1:13" ht="27" customHeight="1" x14ac:dyDescent="0.2">
      <c r="A41" s="28" t="s">
        <v>125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 spans="1:13" ht="27" customHeight="1" x14ac:dyDescent="0.2">
      <c r="A42" s="28" t="s">
        <v>146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 spans="1:13" ht="27" customHeight="1" x14ac:dyDescent="0.2">
      <c r="A43" s="28" t="s">
        <v>147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</sheetData>
  <mergeCells count="8">
    <mergeCell ref="K10:L11"/>
    <mergeCell ref="M10:M11"/>
    <mergeCell ref="A10:A11"/>
    <mergeCell ref="B10:B11"/>
    <mergeCell ref="C10:D11"/>
    <mergeCell ref="E10:F11"/>
    <mergeCell ref="G10:H11"/>
    <mergeCell ref="I10:J11"/>
  </mergeCells>
  <pageMargins left="0.23622047244094491" right="0.23622047244094491" top="0.15748031496062992" bottom="0.15748031496062992" header="0.31496062992125984" footer="0.31496062992125984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2FF0-D123-4744-ABCA-87DD28C7E2B6}">
  <sheetPr>
    <pageSetUpPr fitToPage="1"/>
  </sheetPr>
  <dimension ref="A1:M43"/>
  <sheetViews>
    <sheetView showGridLines="0" topLeftCell="A22" zoomScale="151" zoomScaleNormal="151" workbookViewId="0">
      <selection activeCell="A42" sqref="A42:XFD43"/>
    </sheetView>
  </sheetViews>
  <sheetFormatPr baseColWidth="10" defaultColWidth="11.33203125" defaultRowHeight="15" x14ac:dyDescent="0.2"/>
  <cols>
    <col min="1" max="1" width="30.6640625" customWidth="1"/>
    <col min="2" max="3" width="10.33203125" customWidth="1"/>
    <col min="4" max="4" width="12.83203125" customWidth="1"/>
    <col min="5" max="12" width="10.33203125" customWidth="1"/>
    <col min="13" max="13" width="14.33203125" customWidth="1"/>
  </cols>
  <sheetData>
    <row r="1" spans="1:13" x14ac:dyDescent="0.2">
      <c r="A1" s="1" t="s">
        <v>0</v>
      </c>
    </row>
    <row r="3" spans="1:13" x14ac:dyDescent="0.2">
      <c r="A3" s="66" t="s">
        <v>60</v>
      </c>
      <c r="E3" t="s">
        <v>52</v>
      </c>
      <c r="G3" s="2"/>
    </row>
    <row r="4" spans="1:13" x14ac:dyDescent="0.2">
      <c r="A4" s="66" t="s">
        <v>105</v>
      </c>
      <c r="E4" s="3" t="s">
        <v>7</v>
      </c>
      <c r="G4" s="2"/>
      <c r="H4" s="37" t="s">
        <v>53</v>
      </c>
      <c r="I4" s="37"/>
    </row>
    <row r="5" spans="1:13" x14ac:dyDescent="0.2">
      <c r="A5" s="38" t="s">
        <v>58</v>
      </c>
      <c r="G5" s="2"/>
      <c r="H5" s="37" t="s">
        <v>54</v>
      </c>
      <c r="I5" s="37"/>
    </row>
    <row r="6" spans="1:13" x14ac:dyDescent="0.2">
      <c r="A6" s="38" t="s">
        <v>59</v>
      </c>
      <c r="B6" s="1"/>
      <c r="G6" s="2"/>
      <c r="H6" s="37" t="s">
        <v>55</v>
      </c>
      <c r="I6" s="37"/>
    </row>
    <row r="7" spans="1:13" x14ac:dyDescent="0.2">
      <c r="A7" s="38" t="s">
        <v>57</v>
      </c>
      <c r="B7" s="1"/>
      <c r="E7" t="s">
        <v>15</v>
      </c>
      <c r="G7" s="2"/>
      <c r="H7" s="37" t="s">
        <v>56</v>
      </c>
      <c r="I7" s="37"/>
    </row>
    <row r="8" spans="1:13" x14ac:dyDescent="0.2">
      <c r="A8" s="66" t="s">
        <v>84</v>
      </c>
      <c r="B8" s="5"/>
      <c r="E8" s="66" t="s">
        <v>87</v>
      </c>
      <c r="G8" s="2"/>
    </row>
    <row r="9" spans="1:13" ht="9" customHeight="1" x14ac:dyDescent="0.2"/>
    <row r="10" spans="1:13" ht="26.5" customHeight="1" x14ac:dyDescent="0.2">
      <c r="A10" s="91" t="s">
        <v>17</v>
      </c>
      <c r="B10" s="91" t="s">
        <v>18</v>
      </c>
      <c r="C10" s="92" t="s">
        <v>141</v>
      </c>
      <c r="D10" s="91"/>
      <c r="E10" s="91" t="s">
        <v>142</v>
      </c>
      <c r="F10" s="91"/>
      <c r="G10" s="87" t="s">
        <v>113</v>
      </c>
      <c r="H10" s="88"/>
      <c r="I10" s="87" t="s">
        <v>114</v>
      </c>
      <c r="J10" s="88"/>
      <c r="K10" s="87" t="s">
        <v>115</v>
      </c>
      <c r="L10" s="88"/>
      <c r="M10" s="91" t="s">
        <v>24</v>
      </c>
    </row>
    <row r="11" spans="1:13" x14ac:dyDescent="0.2">
      <c r="A11" s="91"/>
      <c r="B11" s="91"/>
      <c r="C11" s="91"/>
      <c r="D11" s="91"/>
      <c r="E11" s="91"/>
      <c r="F11" s="91"/>
      <c r="G11" s="89"/>
      <c r="H11" s="90"/>
      <c r="I11" s="89"/>
      <c r="J11" s="90"/>
      <c r="K11" s="89"/>
      <c r="L11" s="90"/>
      <c r="M11" s="91"/>
    </row>
    <row r="12" spans="1:13" x14ac:dyDescent="0.2">
      <c r="A12" s="6"/>
      <c r="B12" s="7"/>
      <c r="C12" s="8" t="s">
        <v>61</v>
      </c>
      <c r="D12" s="8" t="s">
        <v>26</v>
      </c>
      <c r="E12" s="58" t="s">
        <v>61</v>
      </c>
      <c r="F12" s="58" t="s">
        <v>26</v>
      </c>
      <c r="G12" s="8" t="s">
        <v>61</v>
      </c>
      <c r="H12" s="8" t="s">
        <v>26</v>
      </c>
      <c r="I12" s="8" t="s">
        <v>61</v>
      </c>
      <c r="J12" s="8" t="s">
        <v>26</v>
      </c>
      <c r="K12" s="8" t="s">
        <v>61</v>
      </c>
      <c r="L12" s="8" t="s">
        <v>26</v>
      </c>
      <c r="M12" s="9"/>
    </row>
    <row r="13" spans="1:13" ht="17" thickBot="1" x14ac:dyDescent="0.25">
      <c r="A13" s="32" t="s">
        <v>27</v>
      </c>
      <c r="B13" s="33"/>
      <c r="C13" s="83" t="s">
        <v>30</v>
      </c>
      <c r="D13" s="83" t="s">
        <v>29</v>
      </c>
      <c r="E13" s="83" t="s">
        <v>29</v>
      </c>
      <c r="F13" s="83" t="s">
        <v>29</v>
      </c>
      <c r="G13" s="83" t="s">
        <v>29</v>
      </c>
      <c r="H13" s="83" t="s">
        <v>29</v>
      </c>
      <c r="I13" s="83" t="s">
        <v>140</v>
      </c>
      <c r="J13" s="83" t="s">
        <v>30</v>
      </c>
      <c r="K13" s="83" t="s">
        <v>129</v>
      </c>
      <c r="L13" s="83" t="s">
        <v>62</v>
      </c>
      <c r="M13" s="75"/>
    </row>
    <row r="14" spans="1:13" ht="18.75" customHeight="1" x14ac:dyDescent="0.2">
      <c r="A14" s="64" t="s">
        <v>63</v>
      </c>
      <c r="B14" s="65" t="s">
        <v>64</v>
      </c>
      <c r="C14" s="41"/>
      <c r="D14" s="41"/>
      <c r="E14" s="41"/>
      <c r="F14" s="41"/>
      <c r="G14" s="41"/>
      <c r="H14" s="41"/>
      <c r="I14" s="41"/>
      <c r="J14" s="41"/>
      <c r="K14" s="41"/>
      <c r="L14" s="59"/>
      <c r="M14" s="76">
        <f>4+3+4+3+4+3+4+3+2</f>
        <v>30</v>
      </c>
    </row>
    <row r="15" spans="1:13" ht="16" thickBot="1" x14ac:dyDescent="0.25">
      <c r="A15" s="34" t="s">
        <v>35</v>
      </c>
      <c r="B15" s="7"/>
      <c r="C15" s="42"/>
      <c r="D15" s="42"/>
      <c r="E15" s="42"/>
      <c r="F15" s="43"/>
      <c r="G15" s="42"/>
      <c r="H15" s="43"/>
      <c r="I15" s="42"/>
      <c r="J15" s="42"/>
      <c r="K15" s="42">
        <v>2</v>
      </c>
      <c r="L15" s="60">
        <v>3</v>
      </c>
      <c r="M15" s="77">
        <v>5</v>
      </c>
    </row>
    <row r="16" spans="1:13" ht="18.75" customHeight="1" x14ac:dyDescent="0.2">
      <c r="A16" s="64" t="s">
        <v>66</v>
      </c>
      <c r="B16" s="65" t="s">
        <v>65</v>
      </c>
      <c r="C16" s="41"/>
      <c r="D16" s="41"/>
      <c r="E16" s="41"/>
      <c r="F16" s="41"/>
      <c r="G16" s="41"/>
      <c r="H16" s="41"/>
      <c r="I16" s="41"/>
      <c r="J16" s="41"/>
      <c r="K16" s="41"/>
      <c r="L16" s="59"/>
      <c r="M16" s="77">
        <v>30</v>
      </c>
    </row>
    <row r="17" spans="1:13" ht="18" customHeight="1" thickBot="1" x14ac:dyDescent="0.25">
      <c r="A17" s="35" t="s">
        <v>35</v>
      </c>
      <c r="B17" s="40"/>
      <c r="C17" s="44"/>
      <c r="D17" s="44"/>
      <c r="E17" s="44"/>
      <c r="F17" s="44"/>
      <c r="G17" s="44"/>
      <c r="H17" s="44"/>
      <c r="I17" s="44"/>
      <c r="J17" s="44"/>
      <c r="K17" s="44">
        <v>2</v>
      </c>
      <c r="L17" s="61">
        <v>3</v>
      </c>
      <c r="M17" s="77">
        <v>5</v>
      </c>
    </row>
    <row r="18" spans="1:13" ht="18.75" customHeight="1" x14ac:dyDescent="0.2">
      <c r="A18" s="64" t="s">
        <v>67</v>
      </c>
      <c r="B18" s="65" t="s">
        <v>85</v>
      </c>
      <c r="C18" s="41"/>
      <c r="D18" s="41"/>
      <c r="E18" s="41"/>
      <c r="F18" s="41"/>
      <c r="G18" s="41"/>
      <c r="H18" s="41"/>
      <c r="I18" s="41"/>
      <c r="J18" s="41"/>
      <c r="K18" s="41"/>
      <c r="L18" s="59"/>
      <c r="M18" s="77">
        <v>30</v>
      </c>
    </row>
    <row r="19" spans="1:13" ht="16" thickBot="1" x14ac:dyDescent="0.25">
      <c r="A19" s="35" t="s">
        <v>35</v>
      </c>
      <c r="B19" s="40"/>
      <c r="C19" s="44"/>
      <c r="D19" s="44"/>
      <c r="E19" s="44"/>
      <c r="F19" s="44"/>
      <c r="G19" s="44"/>
      <c r="H19" s="44"/>
      <c r="I19" s="44"/>
      <c r="J19" s="44"/>
      <c r="K19" s="44">
        <v>2</v>
      </c>
      <c r="L19" s="61">
        <v>3</v>
      </c>
      <c r="M19" s="77">
        <v>5</v>
      </c>
    </row>
    <row r="20" spans="1:13" ht="18.75" customHeight="1" x14ac:dyDescent="0.2">
      <c r="A20" s="64" t="s">
        <v>68</v>
      </c>
      <c r="B20" s="65" t="s">
        <v>69</v>
      </c>
      <c r="C20" s="41"/>
      <c r="D20" s="41"/>
      <c r="E20" s="41"/>
      <c r="F20" s="41"/>
      <c r="G20" s="41"/>
      <c r="H20" s="41"/>
      <c r="I20" s="41"/>
      <c r="J20" s="41"/>
      <c r="K20" s="41"/>
      <c r="L20" s="59"/>
      <c r="M20" s="77">
        <v>30</v>
      </c>
    </row>
    <row r="21" spans="1:13" ht="16" thickBot="1" x14ac:dyDescent="0.25">
      <c r="A21" s="34" t="s">
        <v>35</v>
      </c>
      <c r="B21" s="7"/>
      <c r="C21" s="45"/>
      <c r="D21" s="45"/>
      <c r="E21" s="45"/>
      <c r="F21" s="45"/>
      <c r="G21" s="45"/>
      <c r="H21" s="45"/>
      <c r="I21" s="45"/>
      <c r="J21" s="45"/>
      <c r="K21" s="45">
        <v>2</v>
      </c>
      <c r="L21" s="62">
        <v>3</v>
      </c>
      <c r="M21" s="77">
        <v>5</v>
      </c>
    </row>
    <row r="22" spans="1:13" ht="18.75" customHeight="1" x14ac:dyDescent="0.2">
      <c r="A22" s="64" t="s">
        <v>70</v>
      </c>
      <c r="B22" s="65" t="s">
        <v>86</v>
      </c>
      <c r="C22" s="41"/>
      <c r="D22" s="41"/>
      <c r="E22" s="41"/>
      <c r="F22" s="41"/>
      <c r="G22" s="41"/>
      <c r="H22" s="41"/>
      <c r="I22" s="41"/>
      <c r="J22" s="41"/>
      <c r="K22" s="41"/>
      <c r="L22" s="59"/>
      <c r="M22" s="77">
        <v>30</v>
      </c>
    </row>
    <row r="23" spans="1:13" ht="16" thickBot="1" x14ac:dyDescent="0.25">
      <c r="A23" s="34" t="s">
        <v>35</v>
      </c>
      <c r="B23" s="7"/>
      <c r="C23" s="45"/>
      <c r="D23" s="45"/>
      <c r="E23" s="45"/>
      <c r="F23" s="45"/>
      <c r="G23" s="45"/>
      <c r="H23" s="45"/>
      <c r="I23" s="45"/>
      <c r="J23" s="45"/>
      <c r="K23" s="45">
        <v>2</v>
      </c>
      <c r="L23" s="62">
        <v>3</v>
      </c>
      <c r="M23" s="77">
        <v>5</v>
      </c>
    </row>
    <row r="24" spans="1:13" ht="18.75" customHeight="1" x14ac:dyDescent="0.2">
      <c r="A24" s="64" t="s">
        <v>71</v>
      </c>
      <c r="B24" s="65" t="s">
        <v>72</v>
      </c>
      <c r="C24" s="41"/>
      <c r="D24" s="41"/>
      <c r="E24" s="41"/>
      <c r="F24" s="41"/>
      <c r="G24" s="41"/>
      <c r="H24" s="41"/>
      <c r="I24" s="41"/>
      <c r="J24" s="41"/>
      <c r="K24" s="41"/>
      <c r="L24" s="59"/>
      <c r="M24" s="77">
        <v>30</v>
      </c>
    </row>
    <row r="25" spans="1:13" ht="16" thickBot="1" x14ac:dyDescent="0.25">
      <c r="A25" s="34" t="s">
        <v>35</v>
      </c>
      <c r="B25" s="7"/>
      <c r="C25" s="45"/>
      <c r="D25" s="45"/>
      <c r="E25" s="45"/>
      <c r="F25" s="45"/>
      <c r="G25" s="45"/>
      <c r="H25" s="45"/>
      <c r="I25" s="45"/>
      <c r="J25" s="45"/>
      <c r="K25" s="45">
        <v>2</v>
      </c>
      <c r="L25" s="62">
        <v>3</v>
      </c>
      <c r="M25" s="77">
        <v>5</v>
      </c>
    </row>
    <row r="26" spans="1:13" ht="18.75" customHeight="1" x14ac:dyDescent="0.2">
      <c r="A26" s="64" t="s">
        <v>73</v>
      </c>
      <c r="B26" s="65" t="s">
        <v>74</v>
      </c>
      <c r="C26" s="41"/>
      <c r="D26" s="41"/>
      <c r="E26" s="41"/>
      <c r="F26" s="41"/>
      <c r="G26" s="41"/>
      <c r="H26" s="41"/>
      <c r="I26" s="41"/>
      <c r="J26" s="41"/>
      <c r="K26" s="41"/>
      <c r="L26" s="59"/>
      <c r="M26" s="77">
        <v>30</v>
      </c>
    </row>
    <row r="27" spans="1:13" ht="16" thickBot="1" x14ac:dyDescent="0.25">
      <c r="A27" s="34" t="s">
        <v>35</v>
      </c>
      <c r="B27" s="7"/>
      <c r="C27" s="45"/>
      <c r="D27" s="45"/>
      <c r="E27" s="45"/>
      <c r="F27" s="45"/>
      <c r="G27" s="45"/>
      <c r="H27" s="45"/>
      <c r="I27" s="45"/>
      <c r="J27" s="45"/>
      <c r="K27" s="45">
        <v>2</v>
      </c>
      <c r="L27" s="62">
        <v>3</v>
      </c>
      <c r="M27" s="77">
        <v>5</v>
      </c>
    </row>
    <row r="28" spans="1:13" ht="20.25" customHeight="1" x14ac:dyDescent="0.2">
      <c r="A28" s="64" t="s">
        <v>75</v>
      </c>
      <c r="B28" s="65" t="s">
        <v>76</v>
      </c>
      <c r="C28" s="41"/>
      <c r="D28" s="41"/>
      <c r="E28" s="41"/>
      <c r="F28" s="41"/>
      <c r="G28" s="41"/>
      <c r="H28" s="41"/>
      <c r="I28" s="41"/>
      <c r="J28" s="41"/>
      <c r="K28" s="41"/>
      <c r="L28" s="59"/>
      <c r="M28" s="77">
        <v>30</v>
      </c>
    </row>
    <row r="29" spans="1:13" ht="16" thickBot="1" x14ac:dyDescent="0.25">
      <c r="A29" s="35" t="s">
        <v>35</v>
      </c>
      <c r="B29" s="40"/>
      <c r="C29" s="44"/>
      <c r="D29" s="44"/>
      <c r="E29" s="44"/>
      <c r="F29" s="44"/>
      <c r="G29" s="63"/>
      <c r="H29" s="44"/>
      <c r="I29" s="44"/>
      <c r="J29" s="44"/>
      <c r="K29" s="44">
        <v>2</v>
      </c>
      <c r="L29" s="61">
        <v>3</v>
      </c>
      <c r="M29" s="78">
        <v>5</v>
      </c>
    </row>
    <row r="30" spans="1:13" ht="18.75" customHeight="1" x14ac:dyDescent="0.2">
      <c r="A30" s="64" t="s">
        <v>77</v>
      </c>
      <c r="B30" s="65" t="s">
        <v>78</v>
      </c>
      <c r="C30" s="41"/>
      <c r="D30" s="41"/>
      <c r="E30" s="41"/>
      <c r="F30" s="41"/>
      <c r="G30" s="41"/>
      <c r="H30" s="41"/>
      <c r="I30" s="41"/>
      <c r="J30" s="41"/>
      <c r="K30" s="41"/>
      <c r="L30" s="59"/>
      <c r="M30" s="77">
        <v>30</v>
      </c>
    </row>
    <row r="31" spans="1:13" ht="16" thickBot="1" x14ac:dyDescent="0.25">
      <c r="A31" s="34" t="s">
        <v>35</v>
      </c>
      <c r="B31" s="7"/>
      <c r="C31" s="45"/>
      <c r="D31" s="45"/>
      <c r="E31" s="45"/>
      <c r="F31" s="45"/>
      <c r="G31" s="45"/>
      <c r="H31" s="45"/>
      <c r="I31" s="45"/>
      <c r="J31" s="45"/>
      <c r="K31" s="45">
        <v>2</v>
      </c>
      <c r="L31" s="62">
        <v>3</v>
      </c>
      <c r="M31" s="77">
        <v>5</v>
      </c>
    </row>
    <row r="32" spans="1:13" ht="18.75" customHeight="1" x14ac:dyDescent="0.2">
      <c r="A32" s="64" t="s">
        <v>79</v>
      </c>
      <c r="B32" s="65" t="s">
        <v>80</v>
      </c>
      <c r="C32" s="41"/>
      <c r="D32" s="41"/>
      <c r="E32" s="41"/>
      <c r="F32" s="41"/>
      <c r="G32" s="41"/>
      <c r="H32" s="41"/>
      <c r="I32" s="41"/>
      <c r="J32" s="41"/>
      <c r="K32" s="41"/>
      <c r="L32" s="59"/>
      <c r="M32" s="77">
        <v>30</v>
      </c>
    </row>
    <row r="33" spans="1:13" ht="16" thickBot="1" x14ac:dyDescent="0.25">
      <c r="A33" s="34" t="s">
        <v>35</v>
      </c>
      <c r="B33" s="7"/>
      <c r="C33" s="45"/>
      <c r="D33" s="45"/>
      <c r="E33" s="45"/>
      <c r="F33" s="45"/>
      <c r="G33" s="45"/>
      <c r="H33" s="45"/>
      <c r="I33" s="45"/>
      <c r="J33" s="45"/>
      <c r="K33" s="45">
        <v>2</v>
      </c>
      <c r="L33" s="62">
        <v>3</v>
      </c>
      <c r="M33" s="77">
        <v>5</v>
      </c>
    </row>
    <row r="34" spans="1:13" ht="20.25" customHeight="1" x14ac:dyDescent="0.2">
      <c r="A34" s="64" t="s">
        <v>81</v>
      </c>
      <c r="B34" s="65" t="s">
        <v>82</v>
      </c>
      <c r="C34" s="41"/>
      <c r="D34" s="41"/>
      <c r="E34" s="41"/>
      <c r="F34" s="41"/>
      <c r="G34" s="41"/>
      <c r="H34" s="41"/>
      <c r="I34" s="41"/>
      <c r="J34" s="41"/>
      <c r="K34" s="41"/>
      <c r="L34" s="59"/>
      <c r="M34" s="77">
        <v>30</v>
      </c>
    </row>
    <row r="35" spans="1:13" ht="16" thickBot="1" x14ac:dyDescent="0.25">
      <c r="A35" s="35" t="s">
        <v>35</v>
      </c>
      <c r="B35" s="40"/>
      <c r="C35" s="44"/>
      <c r="D35" s="44"/>
      <c r="E35" s="44"/>
      <c r="F35" s="44"/>
      <c r="G35" s="63"/>
      <c r="H35" s="44"/>
      <c r="I35" s="44"/>
      <c r="J35" s="44"/>
      <c r="K35" s="44">
        <v>2</v>
      </c>
      <c r="L35" s="61">
        <v>3</v>
      </c>
      <c r="M35" s="78">
        <v>5</v>
      </c>
    </row>
    <row r="36" spans="1:13" ht="20.25" customHeight="1" x14ac:dyDescent="0.2">
      <c r="A36" s="81" t="s">
        <v>119</v>
      </c>
      <c r="B36" s="82" t="s">
        <v>83</v>
      </c>
      <c r="C36" s="41"/>
      <c r="D36" s="41"/>
      <c r="E36" s="41"/>
      <c r="F36" s="41"/>
      <c r="G36" s="41"/>
      <c r="H36" s="41"/>
      <c r="I36" s="41"/>
      <c r="J36" s="41"/>
      <c r="K36" s="41"/>
      <c r="L36" s="59"/>
      <c r="M36" s="77">
        <v>30</v>
      </c>
    </row>
    <row r="37" spans="1:13" ht="16" thickBot="1" x14ac:dyDescent="0.25">
      <c r="A37" s="67" t="s">
        <v>35</v>
      </c>
      <c r="B37" s="18"/>
      <c r="C37" s="42"/>
      <c r="D37" s="42"/>
      <c r="E37" s="42"/>
      <c r="F37" s="42"/>
      <c r="G37" s="80"/>
      <c r="H37" s="42"/>
      <c r="I37" s="42"/>
      <c r="J37" s="42"/>
      <c r="K37" s="42">
        <v>2</v>
      </c>
      <c r="L37" s="60">
        <v>3</v>
      </c>
      <c r="M37" s="79">
        <v>5</v>
      </c>
    </row>
    <row r="38" spans="1:13" x14ac:dyDescent="0.2">
      <c r="A38" s="68"/>
      <c r="B38" s="69"/>
      <c r="C38" s="69"/>
      <c r="D38" s="69"/>
      <c r="E38" s="69"/>
      <c r="F38" s="69"/>
      <c r="G38" s="70"/>
      <c r="H38" s="69"/>
      <c r="I38" s="69"/>
      <c r="J38" s="69"/>
      <c r="K38" s="69"/>
      <c r="L38" s="69"/>
      <c r="M38" s="71"/>
    </row>
    <row r="39" spans="1:13" ht="16" thickBot="1" x14ac:dyDescent="0.25">
      <c r="A39" s="72" t="s">
        <v>45</v>
      </c>
      <c r="B39" s="73"/>
      <c r="C39" s="73">
        <f>12*4</f>
        <v>48</v>
      </c>
      <c r="D39" s="73">
        <f>12*3</f>
        <v>36</v>
      </c>
      <c r="E39" s="73">
        <v>48</v>
      </c>
      <c r="F39" s="73">
        <v>36</v>
      </c>
      <c r="G39" s="73">
        <f>12*4</f>
        <v>48</v>
      </c>
      <c r="H39" s="73">
        <f>12*3</f>
        <v>36</v>
      </c>
      <c r="I39" s="73">
        <v>48</v>
      </c>
      <c r="J39" s="73">
        <v>36</v>
      </c>
      <c r="K39" s="73">
        <v>48</v>
      </c>
      <c r="L39" s="73">
        <v>36</v>
      </c>
      <c r="M39" s="74">
        <v>420</v>
      </c>
    </row>
    <row r="40" spans="1:13" ht="22.5" customHeight="1" x14ac:dyDescent="0.2">
      <c r="A40" s="36" t="s">
        <v>47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 spans="1:13" ht="27" customHeight="1" x14ac:dyDescent="0.2">
      <c r="A41" s="28" t="s">
        <v>125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 spans="1:13" ht="27" customHeight="1" x14ac:dyDescent="0.2">
      <c r="A42" s="28" t="s">
        <v>146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 spans="1:13" ht="27" customHeight="1" x14ac:dyDescent="0.2">
      <c r="A43" s="28" t="s">
        <v>147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</sheetData>
  <mergeCells count="8">
    <mergeCell ref="K10:L11"/>
    <mergeCell ref="M10:M11"/>
    <mergeCell ref="A10:A11"/>
    <mergeCell ref="B10:B11"/>
    <mergeCell ref="C10:D11"/>
    <mergeCell ref="E10:F11"/>
    <mergeCell ref="G10:H11"/>
    <mergeCell ref="I10:J11"/>
  </mergeCells>
  <pageMargins left="0.23622047244094491" right="0.23622047244094491" top="0.15748031496062992" bottom="0.15748031496062992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48A4-FE41-4CAC-A33A-0CAB16A9FA13}">
  <sheetPr>
    <pageSetUpPr fitToPage="1"/>
  </sheetPr>
  <dimension ref="A1:M43"/>
  <sheetViews>
    <sheetView showGridLines="0" topLeftCell="A23" zoomScale="151" zoomScaleNormal="151" workbookViewId="0">
      <selection activeCell="I45" sqref="I45"/>
    </sheetView>
  </sheetViews>
  <sheetFormatPr baseColWidth="10" defaultColWidth="11.33203125" defaultRowHeight="15" x14ac:dyDescent="0.2"/>
  <cols>
    <col min="1" max="1" width="30.6640625" customWidth="1"/>
    <col min="2" max="3" width="10.33203125" customWidth="1"/>
    <col min="4" max="4" width="12.83203125" customWidth="1"/>
    <col min="5" max="12" width="10.33203125" customWidth="1"/>
    <col min="13" max="13" width="14.33203125" customWidth="1"/>
  </cols>
  <sheetData>
    <row r="1" spans="1:13" x14ac:dyDescent="0.2">
      <c r="A1" s="1" t="s">
        <v>0</v>
      </c>
    </row>
    <row r="3" spans="1:13" x14ac:dyDescent="0.2">
      <c r="A3" s="66" t="s">
        <v>60</v>
      </c>
      <c r="E3" t="s">
        <v>52</v>
      </c>
      <c r="G3" s="2"/>
    </row>
    <row r="4" spans="1:13" x14ac:dyDescent="0.2">
      <c r="A4" s="66" t="s">
        <v>105</v>
      </c>
      <c r="E4" s="3" t="s">
        <v>7</v>
      </c>
      <c r="G4" s="2"/>
      <c r="H4" s="37" t="s">
        <v>53</v>
      </c>
      <c r="I4" s="37"/>
    </row>
    <row r="5" spans="1:13" x14ac:dyDescent="0.2">
      <c r="A5" s="38" t="s">
        <v>58</v>
      </c>
      <c r="G5" s="2"/>
      <c r="H5" s="37" t="s">
        <v>54</v>
      </c>
      <c r="I5" s="37"/>
    </row>
    <row r="6" spans="1:13" x14ac:dyDescent="0.2">
      <c r="A6" s="38" t="s">
        <v>59</v>
      </c>
      <c r="B6" s="1"/>
      <c r="G6" s="2"/>
      <c r="H6" s="37" t="s">
        <v>55</v>
      </c>
      <c r="I6" s="37"/>
    </row>
    <row r="7" spans="1:13" x14ac:dyDescent="0.2">
      <c r="A7" s="38" t="s">
        <v>57</v>
      </c>
      <c r="B7" s="1"/>
      <c r="E7" t="s">
        <v>15</v>
      </c>
      <c r="G7" s="2"/>
      <c r="H7" s="37" t="s">
        <v>56</v>
      </c>
      <c r="I7" s="37"/>
    </row>
    <row r="8" spans="1:13" x14ac:dyDescent="0.2">
      <c r="A8" s="66" t="s">
        <v>84</v>
      </c>
      <c r="B8" s="5"/>
      <c r="E8" s="66" t="s">
        <v>87</v>
      </c>
      <c r="G8" s="2"/>
    </row>
    <row r="9" spans="1:13" ht="9" customHeight="1" x14ac:dyDescent="0.2"/>
    <row r="10" spans="1:13" ht="26.5" customHeight="1" x14ac:dyDescent="0.2">
      <c r="A10" s="91" t="s">
        <v>17</v>
      </c>
      <c r="B10" s="91" t="s">
        <v>18</v>
      </c>
      <c r="C10" s="92" t="s">
        <v>143</v>
      </c>
      <c r="D10" s="91"/>
      <c r="E10" s="91" t="s">
        <v>144</v>
      </c>
      <c r="F10" s="91"/>
      <c r="G10" s="87" t="s">
        <v>116</v>
      </c>
      <c r="H10" s="88"/>
      <c r="I10" s="87" t="s">
        <v>117</v>
      </c>
      <c r="J10" s="88"/>
      <c r="K10" s="87" t="s">
        <v>118</v>
      </c>
      <c r="L10" s="88"/>
      <c r="M10" s="91" t="s">
        <v>24</v>
      </c>
    </row>
    <row r="11" spans="1:13" x14ac:dyDescent="0.2">
      <c r="A11" s="91"/>
      <c r="B11" s="91"/>
      <c r="C11" s="91"/>
      <c r="D11" s="91"/>
      <c r="E11" s="91"/>
      <c r="F11" s="91"/>
      <c r="G11" s="89"/>
      <c r="H11" s="90"/>
      <c r="I11" s="89"/>
      <c r="J11" s="90"/>
      <c r="K11" s="89"/>
      <c r="L11" s="90"/>
      <c r="M11" s="91"/>
    </row>
    <row r="12" spans="1:13" x14ac:dyDescent="0.2">
      <c r="A12" s="6"/>
      <c r="B12" s="7"/>
      <c r="C12" s="8" t="s">
        <v>61</v>
      </c>
      <c r="D12" s="8" t="s">
        <v>26</v>
      </c>
      <c r="E12" s="58" t="s">
        <v>61</v>
      </c>
      <c r="F12" s="58" t="s">
        <v>26</v>
      </c>
      <c r="G12" s="8" t="s">
        <v>61</v>
      </c>
      <c r="H12" s="8" t="s">
        <v>26</v>
      </c>
      <c r="I12" s="8" t="s">
        <v>61</v>
      </c>
      <c r="J12" s="8" t="s">
        <v>26</v>
      </c>
      <c r="K12" s="48"/>
      <c r="L12" s="48"/>
      <c r="M12" s="9"/>
    </row>
    <row r="13" spans="1:13" ht="17" thickBot="1" x14ac:dyDescent="0.25">
      <c r="A13" s="32" t="s">
        <v>27</v>
      </c>
      <c r="B13" s="33"/>
      <c r="C13" s="83" t="s">
        <v>29</v>
      </c>
      <c r="D13" s="83" t="s">
        <v>29</v>
      </c>
      <c r="E13" s="83" t="s">
        <v>145</v>
      </c>
      <c r="F13" s="83" t="s">
        <v>62</v>
      </c>
      <c r="G13" s="83" t="s">
        <v>29</v>
      </c>
      <c r="H13" s="83" t="s">
        <v>30</v>
      </c>
      <c r="I13" s="83" t="s">
        <v>29</v>
      </c>
      <c r="J13" s="83" t="s">
        <v>29</v>
      </c>
      <c r="K13" s="84"/>
      <c r="L13" s="84"/>
      <c r="M13" s="75"/>
    </row>
    <row r="14" spans="1:13" ht="18.75" customHeight="1" x14ac:dyDescent="0.2">
      <c r="A14" s="64" t="s">
        <v>63</v>
      </c>
      <c r="B14" s="65" t="s">
        <v>64</v>
      </c>
      <c r="C14" s="41"/>
      <c r="D14" s="41"/>
      <c r="E14" s="41"/>
      <c r="F14" s="41"/>
      <c r="G14" s="41"/>
      <c r="H14" s="41"/>
      <c r="I14" s="41"/>
      <c r="J14" s="41"/>
      <c r="K14" s="46"/>
      <c r="L14" s="50"/>
      <c r="M14" s="76">
        <v>23</v>
      </c>
    </row>
    <row r="15" spans="1:13" ht="16" thickBot="1" x14ac:dyDescent="0.25">
      <c r="A15" s="34" t="s">
        <v>35</v>
      </c>
      <c r="B15" s="7"/>
      <c r="C15" s="42"/>
      <c r="D15" s="42"/>
      <c r="E15" s="42">
        <v>2</v>
      </c>
      <c r="F15" s="43">
        <v>3</v>
      </c>
      <c r="G15" s="42"/>
      <c r="H15" s="43"/>
      <c r="I15" s="42"/>
      <c r="J15" s="42"/>
      <c r="K15" s="51"/>
      <c r="L15" s="53"/>
      <c r="M15" s="77">
        <v>5</v>
      </c>
    </row>
    <row r="16" spans="1:13" ht="18.75" customHeight="1" x14ac:dyDescent="0.2">
      <c r="A16" s="64" t="s">
        <v>66</v>
      </c>
      <c r="B16" s="65" t="s">
        <v>65</v>
      </c>
      <c r="C16" s="41"/>
      <c r="D16" s="41"/>
      <c r="E16" s="41"/>
      <c r="F16" s="41"/>
      <c r="G16" s="41"/>
      <c r="H16" s="41"/>
      <c r="I16" s="41"/>
      <c r="J16" s="41"/>
      <c r="K16" s="46"/>
      <c r="L16" s="50"/>
      <c r="M16" s="77">
        <v>23</v>
      </c>
    </row>
    <row r="17" spans="1:13" ht="18" customHeight="1" thickBot="1" x14ac:dyDescent="0.25">
      <c r="A17" s="35" t="s">
        <v>35</v>
      </c>
      <c r="B17" s="40"/>
      <c r="C17" s="44"/>
      <c r="D17" s="44"/>
      <c r="E17" s="44">
        <v>2</v>
      </c>
      <c r="F17" s="44">
        <v>3</v>
      </c>
      <c r="G17" s="44"/>
      <c r="H17" s="44"/>
      <c r="I17" s="44"/>
      <c r="J17" s="44"/>
      <c r="K17" s="54"/>
      <c r="L17" s="55"/>
      <c r="M17" s="77">
        <v>5</v>
      </c>
    </row>
    <row r="18" spans="1:13" ht="18.75" customHeight="1" x14ac:dyDescent="0.2">
      <c r="A18" s="64" t="s">
        <v>67</v>
      </c>
      <c r="B18" s="65" t="s">
        <v>85</v>
      </c>
      <c r="C18" s="41"/>
      <c r="D18" s="41"/>
      <c r="E18" s="41"/>
      <c r="F18" s="41"/>
      <c r="G18" s="41"/>
      <c r="H18" s="41"/>
      <c r="I18" s="41"/>
      <c r="J18" s="41"/>
      <c r="K18" s="46"/>
      <c r="L18" s="50"/>
      <c r="M18" s="77">
        <v>23</v>
      </c>
    </row>
    <row r="19" spans="1:13" ht="16" thickBot="1" x14ac:dyDescent="0.25">
      <c r="A19" s="35" t="s">
        <v>35</v>
      </c>
      <c r="B19" s="40"/>
      <c r="C19" s="44"/>
      <c r="D19" s="44"/>
      <c r="E19" s="44">
        <v>2</v>
      </c>
      <c r="F19" s="44">
        <v>3</v>
      </c>
      <c r="G19" s="44"/>
      <c r="H19" s="44"/>
      <c r="I19" s="44"/>
      <c r="J19" s="44"/>
      <c r="K19" s="54"/>
      <c r="L19" s="55"/>
      <c r="M19" s="77">
        <v>5</v>
      </c>
    </row>
    <row r="20" spans="1:13" ht="18.75" customHeight="1" x14ac:dyDescent="0.2">
      <c r="A20" s="64" t="s">
        <v>68</v>
      </c>
      <c r="B20" s="65" t="s">
        <v>69</v>
      </c>
      <c r="C20" s="41"/>
      <c r="D20" s="41"/>
      <c r="E20" s="41"/>
      <c r="F20" s="41"/>
      <c r="G20" s="41"/>
      <c r="H20" s="41"/>
      <c r="I20" s="41"/>
      <c r="J20" s="41"/>
      <c r="K20" s="46"/>
      <c r="L20" s="50"/>
      <c r="M20" s="77">
        <v>23</v>
      </c>
    </row>
    <row r="21" spans="1:13" ht="16" thickBot="1" x14ac:dyDescent="0.25">
      <c r="A21" s="34" t="s">
        <v>35</v>
      </c>
      <c r="B21" s="7"/>
      <c r="C21" s="45"/>
      <c r="D21" s="45"/>
      <c r="E21" s="45">
        <v>2</v>
      </c>
      <c r="F21" s="45">
        <v>3</v>
      </c>
      <c r="G21" s="45"/>
      <c r="H21" s="45"/>
      <c r="I21" s="45"/>
      <c r="J21" s="45"/>
      <c r="K21" s="47"/>
      <c r="L21" s="56"/>
      <c r="M21" s="77">
        <v>5</v>
      </c>
    </row>
    <row r="22" spans="1:13" ht="18.75" customHeight="1" x14ac:dyDescent="0.2">
      <c r="A22" s="64" t="s">
        <v>70</v>
      </c>
      <c r="B22" s="65" t="s">
        <v>86</v>
      </c>
      <c r="C22" s="41"/>
      <c r="D22" s="41"/>
      <c r="E22" s="41"/>
      <c r="F22" s="41"/>
      <c r="G22" s="41"/>
      <c r="H22" s="41"/>
      <c r="I22" s="41"/>
      <c r="J22" s="41"/>
      <c r="K22" s="46"/>
      <c r="L22" s="50"/>
      <c r="M22" s="77">
        <v>23</v>
      </c>
    </row>
    <row r="23" spans="1:13" ht="16" thickBot="1" x14ac:dyDescent="0.25">
      <c r="A23" s="34" t="s">
        <v>35</v>
      </c>
      <c r="B23" s="7"/>
      <c r="C23" s="45"/>
      <c r="D23" s="45"/>
      <c r="E23" s="45">
        <v>2</v>
      </c>
      <c r="F23" s="45">
        <v>3</v>
      </c>
      <c r="G23" s="45"/>
      <c r="H23" s="45"/>
      <c r="I23" s="45"/>
      <c r="J23" s="45"/>
      <c r="K23" s="47"/>
      <c r="L23" s="56"/>
      <c r="M23" s="77">
        <v>5</v>
      </c>
    </row>
    <row r="24" spans="1:13" ht="18.75" customHeight="1" x14ac:dyDescent="0.2">
      <c r="A24" s="64" t="s">
        <v>71</v>
      </c>
      <c r="B24" s="65" t="s">
        <v>72</v>
      </c>
      <c r="C24" s="41"/>
      <c r="D24" s="41"/>
      <c r="E24" s="41"/>
      <c r="F24" s="41"/>
      <c r="G24" s="41"/>
      <c r="H24" s="41"/>
      <c r="I24" s="41"/>
      <c r="J24" s="41"/>
      <c r="K24" s="46"/>
      <c r="L24" s="50"/>
      <c r="M24" s="77">
        <v>23</v>
      </c>
    </row>
    <row r="25" spans="1:13" ht="16" thickBot="1" x14ac:dyDescent="0.25">
      <c r="A25" s="34" t="s">
        <v>35</v>
      </c>
      <c r="B25" s="7"/>
      <c r="C25" s="45"/>
      <c r="D25" s="45"/>
      <c r="E25" s="45">
        <v>2</v>
      </c>
      <c r="F25" s="45">
        <v>3</v>
      </c>
      <c r="G25" s="45"/>
      <c r="H25" s="45"/>
      <c r="I25" s="45"/>
      <c r="J25" s="45"/>
      <c r="K25" s="47"/>
      <c r="L25" s="56"/>
      <c r="M25" s="77">
        <v>5</v>
      </c>
    </row>
    <row r="26" spans="1:13" ht="18.75" customHeight="1" x14ac:dyDescent="0.2">
      <c r="A26" s="64" t="s">
        <v>73</v>
      </c>
      <c r="B26" s="65" t="s">
        <v>74</v>
      </c>
      <c r="C26" s="41"/>
      <c r="D26" s="41"/>
      <c r="E26" s="41"/>
      <c r="F26" s="41"/>
      <c r="G26" s="41"/>
      <c r="H26" s="41"/>
      <c r="I26" s="41"/>
      <c r="J26" s="41"/>
      <c r="K26" s="46"/>
      <c r="L26" s="50"/>
      <c r="M26" s="77">
        <v>23</v>
      </c>
    </row>
    <row r="27" spans="1:13" ht="16" thickBot="1" x14ac:dyDescent="0.25">
      <c r="A27" s="34" t="s">
        <v>35</v>
      </c>
      <c r="B27" s="7"/>
      <c r="C27" s="45"/>
      <c r="D27" s="45"/>
      <c r="E27" s="45">
        <v>2</v>
      </c>
      <c r="F27" s="45">
        <v>3</v>
      </c>
      <c r="G27" s="45"/>
      <c r="H27" s="45"/>
      <c r="I27" s="45"/>
      <c r="J27" s="45"/>
      <c r="K27" s="47"/>
      <c r="L27" s="56"/>
      <c r="M27" s="77">
        <v>5</v>
      </c>
    </row>
    <row r="28" spans="1:13" ht="20.25" customHeight="1" x14ac:dyDescent="0.2">
      <c r="A28" s="64" t="s">
        <v>75</v>
      </c>
      <c r="B28" s="65" t="s">
        <v>76</v>
      </c>
      <c r="C28" s="41"/>
      <c r="D28" s="41"/>
      <c r="E28" s="41"/>
      <c r="F28" s="41"/>
      <c r="G28" s="41"/>
      <c r="H28" s="41"/>
      <c r="I28" s="41"/>
      <c r="J28" s="41"/>
      <c r="K28" s="46"/>
      <c r="L28" s="50"/>
      <c r="M28" s="77">
        <v>23</v>
      </c>
    </row>
    <row r="29" spans="1:13" ht="16" thickBot="1" x14ac:dyDescent="0.25">
      <c r="A29" s="35" t="s">
        <v>35</v>
      </c>
      <c r="B29" s="40"/>
      <c r="C29" s="44"/>
      <c r="D29" s="44"/>
      <c r="E29" s="44">
        <v>2</v>
      </c>
      <c r="F29" s="44">
        <v>3</v>
      </c>
      <c r="G29" s="63"/>
      <c r="H29" s="44"/>
      <c r="I29" s="44"/>
      <c r="J29" s="44"/>
      <c r="K29" s="54"/>
      <c r="L29" s="55"/>
      <c r="M29" s="78">
        <v>5</v>
      </c>
    </row>
    <row r="30" spans="1:13" ht="18.75" customHeight="1" x14ac:dyDescent="0.2">
      <c r="A30" s="64" t="s">
        <v>77</v>
      </c>
      <c r="B30" s="65" t="s">
        <v>78</v>
      </c>
      <c r="C30" s="41"/>
      <c r="D30" s="41"/>
      <c r="E30" s="41"/>
      <c r="F30" s="41"/>
      <c r="G30" s="41"/>
      <c r="H30" s="41"/>
      <c r="I30" s="41"/>
      <c r="J30" s="41"/>
      <c r="K30" s="46"/>
      <c r="L30" s="50"/>
      <c r="M30" s="77">
        <v>23</v>
      </c>
    </row>
    <row r="31" spans="1:13" ht="16" thickBot="1" x14ac:dyDescent="0.25">
      <c r="A31" s="34" t="s">
        <v>35</v>
      </c>
      <c r="B31" s="7"/>
      <c r="C31" s="45"/>
      <c r="D31" s="45"/>
      <c r="E31" s="45">
        <v>2</v>
      </c>
      <c r="F31" s="45">
        <v>3</v>
      </c>
      <c r="G31" s="45"/>
      <c r="H31" s="45"/>
      <c r="I31" s="45"/>
      <c r="J31" s="45"/>
      <c r="K31" s="47"/>
      <c r="L31" s="56"/>
      <c r="M31" s="77">
        <v>5</v>
      </c>
    </row>
    <row r="32" spans="1:13" ht="18.75" customHeight="1" x14ac:dyDescent="0.2">
      <c r="A32" s="64" t="s">
        <v>79</v>
      </c>
      <c r="B32" s="65" t="s">
        <v>80</v>
      </c>
      <c r="C32" s="41"/>
      <c r="D32" s="41"/>
      <c r="E32" s="41"/>
      <c r="F32" s="41"/>
      <c r="G32" s="41"/>
      <c r="H32" s="41"/>
      <c r="I32" s="41"/>
      <c r="J32" s="41"/>
      <c r="K32" s="46"/>
      <c r="L32" s="50"/>
      <c r="M32" s="77">
        <v>23</v>
      </c>
    </row>
    <row r="33" spans="1:13" ht="16" thickBot="1" x14ac:dyDescent="0.25">
      <c r="A33" s="34" t="s">
        <v>35</v>
      </c>
      <c r="B33" s="7"/>
      <c r="C33" s="45"/>
      <c r="D33" s="45"/>
      <c r="E33" s="45">
        <v>2</v>
      </c>
      <c r="F33" s="45">
        <v>3</v>
      </c>
      <c r="G33" s="45"/>
      <c r="H33" s="45"/>
      <c r="I33" s="45"/>
      <c r="J33" s="45"/>
      <c r="K33" s="47"/>
      <c r="L33" s="56"/>
      <c r="M33" s="77">
        <v>5</v>
      </c>
    </row>
    <row r="34" spans="1:13" ht="20.25" customHeight="1" x14ac:dyDescent="0.2">
      <c r="A34" s="64" t="s">
        <v>81</v>
      </c>
      <c r="B34" s="65" t="s">
        <v>82</v>
      </c>
      <c r="C34" s="41"/>
      <c r="D34" s="41"/>
      <c r="E34" s="41"/>
      <c r="F34" s="41"/>
      <c r="G34" s="41"/>
      <c r="H34" s="41"/>
      <c r="I34" s="41"/>
      <c r="J34" s="41"/>
      <c r="K34" s="46"/>
      <c r="L34" s="50"/>
      <c r="M34" s="77">
        <v>23</v>
      </c>
    </row>
    <row r="35" spans="1:13" ht="16" thickBot="1" x14ac:dyDescent="0.25">
      <c r="A35" s="35" t="s">
        <v>35</v>
      </c>
      <c r="B35" s="40"/>
      <c r="C35" s="44"/>
      <c r="D35" s="44"/>
      <c r="E35" s="44">
        <v>2</v>
      </c>
      <c r="F35" s="44">
        <v>3</v>
      </c>
      <c r="G35" s="63"/>
      <c r="H35" s="44"/>
      <c r="I35" s="44"/>
      <c r="J35" s="44"/>
      <c r="K35" s="54"/>
      <c r="L35" s="55"/>
      <c r="M35" s="78">
        <v>5</v>
      </c>
    </row>
    <row r="36" spans="1:13" ht="20.25" customHeight="1" x14ac:dyDescent="0.2">
      <c r="A36" s="81" t="s">
        <v>119</v>
      </c>
      <c r="B36" s="82" t="s">
        <v>83</v>
      </c>
      <c r="C36" s="41"/>
      <c r="D36" s="41"/>
      <c r="E36" s="41"/>
      <c r="F36" s="41"/>
      <c r="G36" s="41"/>
      <c r="H36" s="41"/>
      <c r="I36" s="41"/>
      <c r="J36" s="41"/>
      <c r="K36" s="46"/>
      <c r="L36" s="50"/>
      <c r="M36" s="77">
        <v>23</v>
      </c>
    </row>
    <row r="37" spans="1:13" ht="16" thickBot="1" x14ac:dyDescent="0.25">
      <c r="A37" s="67" t="s">
        <v>35</v>
      </c>
      <c r="B37" s="18"/>
      <c r="C37" s="42"/>
      <c r="D37" s="42"/>
      <c r="E37" s="42">
        <v>2</v>
      </c>
      <c r="F37" s="42">
        <v>3</v>
      </c>
      <c r="G37" s="80"/>
      <c r="H37" s="42"/>
      <c r="I37" s="42"/>
      <c r="J37" s="42"/>
      <c r="K37" s="51"/>
      <c r="L37" s="53"/>
      <c r="M37" s="79">
        <v>5</v>
      </c>
    </row>
    <row r="38" spans="1:13" x14ac:dyDescent="0.2">
      <c r="A38" s="68"/>
      <c r="B38" s="69"/>
      <c r="C38" s="69"/>
      <c r="D38" s="69"/>
      <c r="E38" s="69"/>
      <c r="F38" s="69"/>
      <c r="G38" s="70"/>
      <c r="H38" s="69"/>
      <c r="I38" s="69"/>
      <c r="J38" s="69"/>
      <c r="K38" s="85"/>
      <c r="L38" s="85"/>
      <c r="M38" s="71"/>
    </row>
    <row r="39" spans="1:13" ht="16" thickBot="1" x14ac:dyDescent="0.25">
      <c r="A39" s="72" t="s">
        <v>45</v>
      </c>
      <c r="B39" s="73"/>
      <c r="C39" s="73">
        <f>12*4</f>
        <v>48</v>
      </c>
      <c r="D39" s="73">
        <f>12*3</f>
        <v>36</v>
      </c>
      <c r="E39" s="73">
        <v>48</v>
      </c>
      <c r="F39" s="73">
        <v>36</v>
      </c>
      <c r="G39" s="73">
        <f>12*4</f>
        <v>48</v>
      </c>
      <c r="H39" s="73">
        <f>12*3</f>
        <v>36</v>
      </c>
      <c r="I39" s="73">
        <v>48</v>
      </c>
      <c r="J39" s="73">
        <v>36</v>
      </c>
      <c r="K39" s="86"/>
      <c r="L39" s="86"/>
      <c r="M39" s="74">
        <v>336</v>
      </c>
    </row>
    <row r="40" spans="1:13" ht="22.5" customHeight="1" x14ac:dyDescent="0.2">
      <c r="A40" s="36" t="s">
        <v>47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 spans="1:13" ht="27" customHeight="1" x14ac:dyDescent="0.2">
      <c r="A41" s="28" t="s">
        <v>125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 spans="1:13" ht="27" customHeight="1" x14ac:dyDescent="0.2">
      <c r="A42" s="28" t="s">
        <v>146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 spans="1:13" ht="27" customHeight="1" x14ac:dyDescent="0.2">
      <c r="A43" s="28" t="s">
        <v>147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</sheetData>
  <mergeCells count="8">
    <mergeCell ref="K10:L11"/>
    <mergeCell ref="M10:M11"/>
    <mergeCell ref="A10:A11"/>
    <mergeCell ref="B10:B11"/>
    <mergeCell ref="C10:D11"/>
    <mergeCell ref="E10:F11"/>
    <mergeCell ref="G10:H11"/>
    <mergeCell ref="I10:J11"/>
  </mergeCells>
  <pageMargins left="0.23622047244094491" right="0.23622047244094491" top="0.15748031496062992" bottom="0.15748031496062992" header="0.31496062992125984" footer="0.31496062992125984"/>
  <pageSetup paperSize="9" scale="63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c9c86b-fc82-47e4-ab2f-4479f71efc4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17048168C74644B90C3A36DE43D2E0" ma:contentTypeVersion="13" ma:contentTypeDescription="Crée un document." ma:contentTypeScope="" ma:versionID="fb05d3e9086ea9fdf419c0e2c2a46bf9">
  <xsd:schema xmlns:xsd="http://www.w3.org/2001/XMLSchema" xmlns:xs="http://www.w3.org/2001/XMLSchema" xmlns:p="http://schemas.microsoft.com/office/2006/metadata/properties" xmlns:ns2="7ec9c86b-fc82-47e4-ab2f-4479f71efc42" xmlns:ns3="4a0b2e77-9199-4d8f-9456-effe4d761b6e" targetNamespace="http://schemas.microsoft.com/office/2006/metadata/properties" ma:root="true" ma:fieldsID="50e7ee92f5c001bd64e4ac2dcfbb0012" ns2:_="" ns3:_="">
    <xsd:import namespace="7ec9c86b-fc82-47e4-ab2f-4479f71efc42"/>
    <xsd:import namespace="4a0b2e77-9199-4d8f-9456-effe4d761b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9c86b-fc82-47e4-ab2f-4479f71efc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0281f9de-dbd9-438f-9c50-0f15139160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b2e77-9199-4d8f-9456-effe4d761b6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8CC149-72D9-4C35-ADA0-72AFCF61C2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9F2902-2BF5-4DDC-886A-65D5B95775A7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4a0b2e77-9199-4d8f-9456-effe4d761b6e"/>
    <ds:schemaRef ds:uri="7ec9c86b-fc82-47e4-ab2f-4479f71efc42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31FE0D2-16F0-4EF3-94A5-C6A9D931C4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c9c86b-fc82-47e4-ab2f-4479f71efc42"/>
    <ds:schemaRef ds:uri="4a0b2e77-9199-4d8f-9456-effe4d761b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2024 Exemple pour mode emploi</vt:lpstr>
      <vt:lpstr>0104 au 0304</vt:lpstr>
      <vt:lpstr>0604 au 1004</vt:lpstr>
      <vt:lpstr>1304 au 1704</vt:lpstr>
      <vt:lpstr>2004 au 2404</vt:lpstr>
      <vt:lpstr>1805 au 2205</vt:lpstr>
      <vt:lpstr>2505 au 2905</vt:lpstr>
      <vt:lpstr>0106 au 0506</vt:lpstr>
      <vt:lpstr>0806 au 1206</vt:lpstr>
      <vt:lpstr>1506 au 1906</vt:lpstr>
      <vt:lpstr>2206 au 2606</vt:lpstr>
    </vt:vector>
  </TitlesOfParts>
  <Company>Pôle Emploi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MEUNIER Isabelle</dc:creator>
  <cp:lastModifiedBy>Clément VAILLANT</cp:lastModifiedBy>
  <cp:revision>1</cp:revision>
  <cp:lastPrinted>2026-04-09T08:38:46Z</cp:lastPrinted>
  <dcterms:created xsi:type="dcterms:W3CDTF">2021-09-28T14:58:12Z</dcterms:created>
  <dcterms:modified xsi:type="dcterms:W3CDTF">2026-07-17T10:12:49Z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0x0101009717048168C74644B90C3A36DE43D2E0</vt:lpwstr>
  </property>
  <property fmtid="{D5CDD505-2E9C-101B-9397-08002B2CF9AE}" pid="3" name="MediaServiceImageTags">
    <vt:lpwstr/>
  </property>
</Properties>
</file>