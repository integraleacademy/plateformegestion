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clementvaillant/Library/CloudStorage/Dropbox/ISF/INTEGRALE SÉCURITÉ PRIVÉE/isf/isfg/ISF GESTION/Marché AFC 2025/Session APS SSIAP avril 2026/DSF1/"/>
    </mc:Choice>
  </mc:AlternateContent>
  <xr:revisionPtr revIDLastSave="0" documentId="13_ncr:1_{5EDE8FC9-76D1-3B48-8F07-19F5DAFC7B34}" xr6:coauthVersionLast="47" xr6:coauthVersionMax="47" xr10:uidLastSave="{00000000-0000-0000-0000-000000000000}"/>
  <bookViews>
    <workbookView xWindow="0" yWindow="660" windowWidth="30240" windowHeight="17580" tabRatio="601" activeTab="4" xr2:uid="{00000000-000D-0000-FFFF-FFFF00000000}"/>
  </bookViews>
  <sheets>
    <sheet name="FACTURE DSF1" sheetId="1" r:id="rId1"/>
    <sheet name="FACTURE DSF4" sheetId="2" r:id="rId2"/>
    <sheet name="FACTURE DSF5" sheetId="3" r:id="rId3"/>
    <sheet name="FACTURE DSF6" sheetId="4" r:id="rId4"/>
    <sheet name="FACTURE DSF7" sheetId="5" r:id="rId5"/>
  </sheets>
  <definedNames>
    <definedName name="_xlnm.Print_Area" localSheetId="0">'FACTURE DSF1'!$A$1:$J$51</definedName>
    <definedName name="_xlnm.Print_Area" localSheetId="1">'FACTURE DSF4'!$A$1:$J$51</definedName>
    <definedName name="_xlnm.Print_Area" localSheetId="2">'FACTURE DSF5'!$A$1:$J$51</definedName>
    <definedName name="_xlnm.Print_Area" localSheetId="3">'FACTURE DSF6'!$A$1:$J$51</definedName>
    <definedName name="_xlnm.Print_Area" localSheetId="4">'FACTURE DSF7'!$A$1:$J$51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4" i="5" l="1"/>
  <c r="G34" i="5"/>
  <c r="F38" i="5"/>
  <c r="E38" i="5"/>
  <c r="D38" i="5"/>
  <c r="G37" i="5"/>
  <c r="I37" i="5" s="1"/>
  <c r="I36" i="5"/>
  <c r="G36" i="5"/>
  <c r="G35" i="5"/>
  <c r="I35" i="5" s="1"/>
  <c r="G33" i="5"/>
  <c r="G38" i="5" s="1"/>
  <c r="F38" i="4"/>
  <c r="E38" i="4"/>
  <c r="D38" i="4"/>
  <c r="G37" i="4"/>
  <c r="I37" i="4" s="1"/>
  <c r="I36" i="4"/>
  <c r="G36" i="4"/>
  <c r="G35" i="4"/>
  <c r="I35" i="4" s="1"/>
  <c r="G33" i="4"/>
  <c r="I33" i="4" s="1"/>
  <c r="F38" i="3"/>
  <c r="E38" i="3"/>
  <c r="D38" i="3"/>
  <c r="I37" i="3"/>
  <c r="G37" i="3"/>
  <c r="I36" i="3"/>
  <c r="G36" i="3"/>
  <c r="G35" i="3"/>
  <c r="I35" i="3" s="1"/>
  <c r="G34" i="3"/>
  <c r="I34" i="3" s="1"/>
  <c r="G33" i="3"/>
  <c r="I33" i="3" s="1"/>
  <c r="G34" i="2"/>
  <c r="I34" i="2" s="1"/>
  <c r="F38" i="2"/>
  <c r="E38" i="2"/>
  <c r="D38" i="2"/>
  <c r="G37" i="2"/>
  <c r="I37" i="2" s="1"/>
  <c r="I36" i="2"/>
  <c r="G36" i="2"/>
  <c r="G35" i="2"/>
  <c r="I35" i="2" s="1"/>
  <c r="G33" i="2"/>
  <c r="G35" i="1"/>
  <c r="I35" i="1" s="1"/>
  <c r="G36" i="1"/>
  <c r="I37" i="1"/>
  <c r="G37" i="1"/>
  <c r="I36" i="1"/>
  <c r="I34" i="1"/>
  <c r="G33" i="1"/>
  <c r="I33" i="1" s="1"/>
  <c r="I33" i="5" l="1"/>
  <c r="G38" i="3"/>
  <c r="M38" i="4"/>
  <c r="I38" i="4"/>
  <c r="C42" i="4" s="1"/>
  <c r="G38" i="4"/>
  <c r="M38" i="3"/>
  <c r="I38" i="3"/>
  <c r="C42" i="3" s="1"/>
  <c r="G38" i="2"/>
  <c r="I33" i="2"/>
  <c r="M38" i="1"/>
  <c r="I38" i="1"/>
  <c r="E38" i="1"/>
  <c r="M38" i="5" l="1"/>
  <c r="I38" i="5"/>
  <c r="C42" i="5" s="1"/>
  <c r="M38" i="2"/>
  <c r="I38" i="2"/>
  <c r="C42" i="2" s="1"/>
  <c r="F38" i="1"/>
  <c r="D38" i="1"/>
  <c r="G38" i="1" l="1"/>
  <c r="C42" i="1" s="1"/>
</calcChain>
</file>

<file path=xl/sharedStrings.xml><?xml version="1.0" encoding="utf-8"?>
<sst xmlns="http://schemas.openxmlformats.org/spreadsheetml/2006/main" count="338" uniqueCount="73">
  <si>
    <t>Caractéristiques de l'établissement</t>
  </si>
  <si>
    <t>Statut :</t>
  </si>
  <si>
    <t>n°existence :</t>
  </si>
  <si>
    <t>n°siret :</t>
  </si>
  <si>
    <t>code APE :</t>
  </si>
  <si>
    <t>Références bancaires</t>
  </si>
  <si>
    <t>Domiciliation :</t>
  </si>
  <si>
    <t>code banque :</t>
  </si>
  <si>
    <t>code guichet :</t>
  </si>
  <si>
    <t>n°compte :</t>
  </si>
  <si>
    <t>Clé :</t>
  </si>
  <si>
    <t>Provence Alpes Côte d'Azur</t>
  </si>
  <si>
    <t>Intitulé :</t>
  </si>
  <si>
    <t xml:space="preserve">Date démarrage </t>
  </si>
  <si>
    <t>Date fin</t>
  </si>
  <si>
    <t>Lieu d'exécution</t>
  </si>
  <si>
    <t>Heures 
absences 
justifiées</t>
  </si>
  <si>
    <t>Total 
Heures 
facturées</t>
  </si>
  <si>
    <t>Prix 
unitaire</t>
  </si>
  <si>
    <t xml:space="preserve">Marché numéro </t>
  </si>
  <si>
    <t>Total 
facturé</t>
  </si>
  <si>
    <t>TOTAL</t>
  </si>
  <si>
    <t>Mandataire</t>
  </si>
  <si>
    <t>Organisme dispensateur</t>
  </si>
  <si>
    <r>
      <t xml:space="preserve">Réf </t>
    </r>
    <r>
      <rPr>
        <b/>
        <sz val="10"/>
        <rFont val="Arial Unicode MS"/>
        <family val="2"/>
      </rPr>
      <t xml:space="preserve">: </t>
    </r>
  </si>
  <si>
    <r>
      <t>Pièces justificatives à joindre :</t>
    </r>
    <r>
      <rPr>
        <sz val="8"/>
        <rFont val="Arial Unicode MS"/>
        <family val="2"/>
      </rPr>
      <t xml:space="preserve"> Attestation d'assiduité, état présence en centre / en entreprises, justificatif absences, Bilan de formation, Fiches individuelles </t>
    </r>
  </si>
  <si>
    <r>
      <t xml:space="preserve">ETABLISSEMENT EXONERE DE TVA 
(Art 261-4-4°a du code général des impôts &amp; Décret 94-764 du 30/08/1994) </t>
    </r>
    <r>
      <rPr>
        <i/>
        <sz val="9"/>
        <rFont val="Arial Unicode MS"/>
        <family val="2"/>
      </rPr>
      <t/>
    </r>
  </si>
  <si>
    <t>Montant total facturé TTC</t>
  </si>
  <si>
    <t xml:space="preserve"> Facture de solde</t>
  </si>
  <si>
    <t>Période du :</t>
  </si>
  <si>
    <t>au :</t>
  </si>
  <si>
    <t>Heures 
dispensées facturables</t>
  </si>
  <si>
    <t>Heures 
dispensées non facturables</t>
  </si>
  <si>
    <t>Signature de l'organisme dispensateur :</t>
  </si>
  <si>
    <t>Facture intermédiaire</t>
  </si>
  <si>
    <t>N° de DSF (Déclaration de Service Fait) :</t>
  </si>
  <si>
    <t>Intitulé séquence</t>
  </si>
  <si>
    <t>dont heures 
en distanciel</t>
  </si>
  <si>
    <t>FESTE</t>
  </si>
  <si>
    <t>Contrôle</t>
  </si>
  <si>
    <t>N° de facture interne à l'opérateur</t>
  </si>
  <si>
    <t>N° Engagement KAIROS</t>
  </si>
  <si>
    <t>France TRAVAIL</t>
  </si>
  <si>
    <t xml:space="preserve">Direction Régionale </t>
  </si>
  <si>
    <t xml:space="preserve">* Délai de paiement conforme au CCAP article 17.4 de France Travail : trente jours à compter de la date de réception </t>
  </si>
  <si>
    <t>Formation professionnelle ou technique</t>
  </si>
  <si>
    <t>RAN</t>
  </si>
  <si>
    <t>Feste</t>
  </si>
  <si>
    <t>Préparation à l'après formation</t>
  </si>
  <si>
    <t>Appui Pédagogique ou Soutien Pédagoqique</t>
  </si>
  <si>
    <t>GIP FIPAN</t>
  </si>
  <si>
    <t>12, bd René Cassin
06200 NICE</t>
  </si>
  <si>
    <t>INTEGRALE SECURITE FORMATIONS</t>
  </si>
  <si>
    <t>54 chemin du Carreou</t>
  </si>
  <si>
    <t>83480 PUGET SUR ARGENS</t>
  </si>
  <si>
    <t>8559A</t>
  </si>
  <si>
    <t>SASU</t>
  </si>
  <si>
    <t>INTEGRALE SECURITE FORMATIONS - 54 CHEMIN DU CARREOU - 83480 PUGET SUR ARGENS</t>
  </si>
  <si>
    <t xml:space="preserve">A PUGET SUR ARGENS </t>
  </si>
  <si>
    <t>QONTO</t>
  </si>
  <si>
    <t>AGENT DE PREVENTION ET DE SECURITE (APS) + SSIAP 1</t>
  </si>
  <si>
    <t>Affaire suivie par : Clément VAILLANT</t>
  </si>
  <si>
    <t>00001</t>
  </si>
  <si>
    <t>41C32B061177_N1</t>
  </si>
  <si>
    <t>CINQ MILLE SIX CENT VINGT SIX EUROS ET CINQUANTE CENTIMES</t>
  </si>
  <si>
    <t>41C32B061177_N4</t>
  </si>
  <si>
    <t>41C32B061177_N5</t>
  </si>
  <si>
    <t>41C32B061177_N6</t>
  </si>
  <si>
    <t>HUIT MILLE CENT TRENTE ET UN EURO ET VINGT CENTIMES</t>
  </si>
  <si>
    <t>NEUF MILLE CENT QUARANTE SEPT EUROS ET SOIXANTE CENTIMES</t>
  </si>
  <si>
    <t>DEUX MILLE NEUF CENT QUATRE VINGT HUIT EUROS ET SOIXANTE DIX CENTIMES</t>
  </si>
  <si>
    <t>41C32B061177_N7</t>
  </si>
  <si>
    <t>QUINZE MILLE SIX CENT QUATRE VINGT TREIZE EUROS ET SOIXANTE DIX CENTIMES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</si>
</sst>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€&quot;;[Red]\-#,##0.00\ &quot;€&quot;"/>
    <numFmt numFmtId="165" formatCode="_-* #,##0.00\ &quot;€&quot;_-;\-* #,##0.00\ &quot;€&quot;_-;_-* &quot;-&quot;??\ &quot;€&quot;_-;_-@_-"/>
  </numFmts>
  <fonts count="30" x14ac:knownFonts="1">
    <font>
      <sz val="10"/>
      <name val="Arial"/>
    </font>
    <font>
      <sz val="8"/>
      <name val="Arial Unicode MS"/>
      <family val="2"/>
    </font>
    <font>
      <sz val="9"/>
      <name val="Arial Unicode MS"/>
      <family val="2"/>
    </font>
    <font>
      <i/>
      <sz val="8"/>
      <name val="Arial Unicode MS"/>
      <family val="2"/>
    </font>
    <font>
      <i/>
      <sz val="8"/>
      <color indexed="10"/>
      <name val="Arial Unicode MS"/>
      <family val="2"/>
    </font>
    <font>
      <i/>
      <sz val="9"/>
      <name val="Arial Unicode MS"/>
      <family val="2"/>
    </font>
    <font>
      <b/>
      <sz val="9"/>
      <name val="Arial Unicode MS"/>
      <family val="2"/>
    </font>
    <font>
      <sz val="10"/>
      <name val="Arial"/>
      <family val="2"/>
    </font>
    <font>
      <b/>
      <i/>
      <u/>
      <sz val="8"/>
      <name val="Arial Unicode MS"/>
      <family val="2"/>
    </font>
    <font>
      <sz val="10"/>
      <name val="Arial Unicode MS"/>
      <family val="2"/>
    </font>
    <font>
      <b/>
      <u/>
      <sz val="10"/>
      <name val="Arial Unicode MS"/>
      <family val="2"/>
    </font>
    <font>
      <b/>
      <sz val="10"/>
      <name val="Arial Unicode MS"/>
      <family val="2"/>
    </font>
    <font>
      <b/>
      <sz val="12"/>
      <color indexed="10"/>
      <name val="Arial Unicode MS"/>
      <family val="2"/>
    </font>
    <font>
      <b/>
      <sz val="12"/>
      <name val="Arial Unicode MS"/>
      <family val="2"/>
    </font>
    <font>
      <sz val="11"/>
      <name val="Arial Unicode MS"/>
      <family val="2"/>
    </font>
    <font>
      <b/>
      <sz val="11"/>
      <color indexed="10"/>
      <name val="Arial Unicode MS"/>
      <family val="2"/>
    </font>
    <font>
      <b/>
      <sz val="9"/>
      <color indexed="8"/>
      <name val="Arial Unicode MS"/>
      <family val="2"/>
    </font>
    <font>
      <sz val="9"/>
      <color indexed="8"/>
      <name val="Arial Unicode MS"/>
      <family val="2"/>
    </font>
    <font>
      <i/>
      <u/>
      <sz val="8"/>
      <name val="Arial Unicode MS"/>
      <family val="2"/>
    </font>
    <font>
      <b/>
      <i/>
      <sz val="9"/>
      <name val="Arial Unicode MS"/>
      <family val="2"/>
    </font>
    <font>
      <b/>
      <sz val="8"/>
      <name val="Arial Unicode MS"/>
      <family val="2"/>
    </font>
    <font>
      <i/>
      <sz val="10"/>
      <color rgb="FFFF0000"/>
      <name val="Arial Unicode MS"/>
      <family val="2"/>
    </font>
    <font>
      <b/>
      <u/>
      <sz val="9"/>
      <name val="Arial Unicode MS"/>
      <family val="2"/>
    </font>
    <font>
      <u/>
      <sz val="9"/>
      <name val="Arial Unicode MS"/>
      <family val="2"/>
    </font>
    <font>
      <u/>
      <sz val="10"/>
      <name val="Arial Unicode MS"/>
      <family val="2"/>
    </font>
    <font>
      <b/>
      <sz val="8"/>
      <color indexed="8"/>
      <name val="Arial Unicode MS"/>
      <family val="2"/>
    </font>
    <font>
      <sz val="8"/>
      <color indexed="8"/>
      <name val="Arial Unicode MS"/>
      <family val="2"/>
    </font>
    <font>
      <i/>
      <sz val="8"/>
      <color indexed="8"/>
      <name val="Arial Unicode MS"/>
      <family val="2"/>
    </font>
    <font>
      <sz val="10"/>
      <color theme="0"/>
      <name val="Arial Unicode MS"/>
      <family val="2"/>
    </font>
    <font>
      <b/>
      <sz val="11"/>
      <color rgb="FF00B050"/>
      <name val="Arial Unicode MS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/>
      <bottom/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</borders>
  <cellStyleXfs count="3">
    <xf numFmtId="0" fontId="0" fillId="0" borderId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</cellStyleXfs>
  <cellXfs count="105">
    <xf numFmtId="0" fontId="0" fillId="0" borderId="0" xfId="0"/>
    <xf numFmtId="0" fontId="2" fillId="0" borderId="0" xfId="0" applyFont="1"/>
    <xf numFmtId="0" fontId="9" fillId="0" borderId="0" xfId="0" applyFont="1"/>
    <xf numFmtId="0" fontId="19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 wrapText="1"/>
    </xf>
    <xf numFmtId="14" fontId="2" fillId="3" borderId="0" xfId="0" applyNumberFormat="1" applyFont="1" applyFill="1" applyAlignment="1">
      <alignment horizontal="center" vertical="center" wrapText="1"/>
    </xf>
    <xf numFmtId="0" fontId="1" fillId="0" borderId="0" xfId="0" applyFont="1" applyAlignment="1">
      <alignment horizontal="right" vertical="center"/>
    </xf>
    <xf numFmtId="0" fontId="9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49" fontId="2" fillId="0" borderId="0" xfId="0" applyNumberFormat="1" applyFont="1"/>
    <xf numFmtId="0" fontId="1" fillId="0" borderId="0" xfId="0" applyFont="1"/>
    <xf numFmtId="0" fontId="18" fillId="0" borderId="0" xfId="0" applyFont="1"/>
    <xf numFmtId="0" fontId="16" fillId="2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/>
    </xf>
    <xf numFmtId="0" fontId="11" fillId="3" borderId="1" xfId="0" applyFont="1" applyFill="1" applyBorder="1" applyAlignment="1">
      <alignment vertical="center"/>
    </xf>
    <xf numFmtId="0" fontId="23" fillId="0" borderId="0" xfId="0" applyFont="1" applyAlignment="1">
      <alignment vertical="center"/>
    </xf>
    <xf numFmtId="0" fontId="24" fillId="0" borderId="0" xfId="0" applyFont="1" applyAlignment="1">
      <alignment horizontal="right" vertical="center"/>
    </xf>
    <xf numFmtId="0" fontId="25" fillId="2" borderId="1" xfId="0" applyFont="1" applyFill="1" applyBorder="1" applyAlignment="1">
      <alignment horizontal="center" vertical="center" wrapText="1"/>
    </xf>
    <xf numFmtId="0" fontId="26" fillId="0" borderId="1" xfId="0" applyFont="1" applyBorder="1" applyAlignment="1">
      <alignment vertical="center" wrapText="1"/>
    </xf>
    <xf numFmtId="0" fontId="1" fillId="3" borderId="1" xfId="0" applyFont="1" applyFill="1" applyBorder="1" applyAlignment="1">
      <alignment vertical="center"/>
    </xf>
    <xf numFmtId="0" fontId="27" fillId="0" borderId="1" xfId="0" applyFont="1" applyBorder="1" applyAlignment="1">
      <alignment vertical="center" wrapText="1"/>
    </xf>
    <xf numFmtId="0" fontId="9" fillId="0" borderId="0" xfId="0" applyFont="1" applyAlignment="1">
      <alignment horizontal="center"/>
    </xf>
    <xf numFmtId="165" fontId="9" fillId="0" borderId="0" xfId="1" applyFont="1" applyFill="1" applyBorder="1" applyAlignment="1">
      <alignment horizontal="center"/>
    </xf>
    <xf numFmtId="0" fontId="16" fillId="2" borderId="3" xfId="0" applyFont="1" applyFill="1" applyBorder="1" applyAlignment="1">
      <alignment horizontal="center" vertical="center" wrapText="1"/>
    </xf>
    <xf numFmtId="165" fontId="17" fillId="0" borderId="3" xfId="1" applyFont="1" applyBorder="1" applyAlignment="1">
      <alignment vertical="center" wrapText="1"/>
    </xf>
    <xf numFmtId="165" fontId="16" fillId="3" borderId="3" xfId="1" applyFont="1" applyFill="1" applyBorder="1" applyAlignment="1">
      <alignment vertical="center" wrapText="1"/>
    </xf>
    <xf numFmtId="0" fontId="22" fillId="0" borderId="0" xfId="0" applyFont="1" applyAlignment="1">
      <alignment horizontal="left" vertical="center"/>
    </xf>
    <xf numFmtId="0" fontId="16" fillId="2" borderId="3" xfId="0" applyFont="1" applyFill="1" applyBorder="1" applyAlignment="1">
      <alignment vertical="center" wrapText="1"/>
    </xf>
    <xf numFmtId="0" fontId="28" fillId="0" borderId="0" xfId="0" applyFont="1"/>
    <xf numFmtId="165" fontId="28" fillId="0" borderId="0" xfId="0" applyNumberFormat="1" applyFont="1"/>
    <xf numFmtId="0" fontId="16" fillId="4" borderId="5" xfId="0" applyFont="1" applyFill="1" applyBorder="1" applyAlignment="1">
      <alignment vertical="center" wrapText="1"/>
    </xf>
    <xf numFmtId="0" fontId="9" fillId="0" borderId="11" xfId="0" applyFont="1" applyBorder="1" applyAlignment="1">
      <alignment vertical="center"/>
    </xf>
    <xf numFmtId="0" fontId="9" fillId="0" borderId="12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9" fillId="0" borderId="11" xfId="0" applyFont="1" applyBorder="1"/>
    <xf numFmtId="0" fontId="1" fillId="0" borderId="12" xfId="0" applyFont="1" applyBorder="1"/>
    <xf numFmtId="0" fontId="1" fillId="0" borderId="13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9" fillId="0" borderId="16" xfId="0" applyFont="1" applyBorder="1" applyAlignment="1">
      <alignment vertical="center"/>
    </xf>
    <xf numFmtId="0" fontId="9" fillId="0" borderId="17" xfId="0" applyFont="1" applyBorder="1" applyAlignment="1">
      <alignment vertical="center"/>
    </xf>
    <xf numFmtId="0" fontId="9" fillId="0" borderId="18" xfId="0" applyFont="1" applyBorder="1" applyAlignment="1">
      <alignment vertical="center"/>
    </xf>
    <xf numFmtId="0" fontId="9" fillId="0" borderId="0" xfId="0" applyFont="1" applyAlignment="1">
      <alignment horizontal="left" vertical="center"/>
    </xf>
    <xf numFmtId="49" fontId="9" fillId="0" borderId="0" xfId="0" applyNumberFormat="1" applyFont="1" applyAlignment="1">
      <alignment horizontal="left" vertical="center"/>
    </xf>
    <xf numFmtId="1" fontId="9" fillId="0" borderId="0" xfId="0" applyNumberFormat="1" applyFont="1" applyAlignment="1">
      <alignment horizontal="left" vertical="center"/>
    </xf>
    <xf numFmtId="0" fontId="1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3" fillId="0" borderId="3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20" fillId="0" borderId="2" xfId="0" applyFont="1" applyBorder="1" applyAlignment="1">
      <alignment horizontal="left" vertical="center" wrapText="1"/>
    </xf>
    <xf numFmtId="0" fontId="20" fillId="0" borderId="0" xfId="0" applyFont="1" applyAlignment="1">
      <alignment horizontal="left" vertical="center" wrapText="1"/>
    </xf>
    <xf numFmtId="0" fontId="3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top"/>
    </xf>
    <xf numFmtId="0" fontId="9" fillId="0" borderId="19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165" fontId="16" fillId="0" borderId="10" xfId="1" applyFont="1" applyBorder="1" applyAlignment="1">
      <alignment horizontal="center" vertical="center" wrapText="1"/>
    </xf>
    <xf numFmtId="0" fontId="21" fillId="0" borderId="0" xfId="0" applyFont="1" applyAlignment="1">
      <alignment horizontal="left" vertical="center"/>
    </xf>
    <xf numFmtId="0" fontId="11" fillId="0" borderId="6" xfId="0" applyFont="1" applyBorder="1" applyAlignment="1">
      <alignment horizontal="center" vertical="center" wrapText="1"/>
    </xf>
    <xf numFmtId="165" fontId="11" fillId="4" borderId="8" xfId="1" applyFont="1" applyFill="1" applyBorder="1" applyAlignment="1">
      <alignment horizontal="center" vertical="center"/>
    </xf>
    <xf numFmtId="165" fontId="11" fillId="4" borderId="9" xfId="1" applyFont="1" applyFill="1" applyBorder="1" applyAlignment="1">
      <alignment horizontal="center" vertical="center"/>
    </xf>
    <xf numFmtId="165" fontId="11" fillId="4" borderId="7" xfId="1" applyFont="1" applyFill="1" applyBorder="1" applyAlignment="1">
      <alignment horizontal="center" vertical="center"/>
    </xf>
    <xf numFmtId="164" fontId="6" fillId="4" borderId="6" xfId="0" applyNumberFormat="1" applyFont="1" applyFill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165" fontId="17" fillId="0" borderId="10" xfId="1" applyFont="1" applyBorder="1" applyAlignment="1">
      <alignment horizontal="center" vertical="center" wrapText="1"/>
    </xf>
    <xf numFmtId="0" fontId="16" fillId="2" borderId="10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2" fillId="5" borderId="0" xfId="0" applyFont="1" applyFill="1" applyAlignment="1">
      <alignment horizontal="left" vertical="center"/>
    </xf>
    <xf numFmtId="14" fontId="23" fillId="3" borderId="0" xfId="0" applyNumberFormat="1" applyFont="1" applyFill="1" applyAlignment="1">
      <alignment horizontal="center" vertical="center"/>
    </xf>
    <xf numFmtId="0" fontId="23" fillId="3" borderId="0" xfId="0" applyFont="1" applyFill="1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 wrapText="1"/>
    </xf>
    <xf numFmtId="16" fontId="2" fillId="3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left" wrapText="1"/>
    </xf>
    <xf numFmtId="0" fontId="9" fillId="0" borderId="0" xfId="0" applyFont="1" applyAlignment="1">
      <alignment horizontal="left" vertical="center" wrapText="1"/>
    </xf>
    <xf numFmtId="0" fontId="14" fillId="0" borderId="1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13" fillId="0" borderId="11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2" fillId="0" borderId="1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15" fontId="12" fillId="0" borderId="0" xfId="0" applyNumberFormat="1" applyFont="1" applyAlignment="1">
      <alignment horizontal="center" vertical="center"/>
    </xf>
    <xf numFmtId="15" fontId="12" fillId="0" borderId="12" xfId="0" applyNumberFormat="1" applyFont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1" fillId="0" borderId="11" xfId="0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29" fillId="0" borderId="0" xfId="0" applyFont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0" fontId="22" fillId="0" borderId="0" xfId="0" applyFont="1" applyFill="1" applyAlignment="1">
      <alignment horizontal="left" vertical="center"/>
    </xf>
  </cellXfs>
  <cellStyles count="3">
    <cellStyle name="Monétaire" xfId="1" builtinId="4"/>
    <cellStyle name="Monétaire 2" xfId="2" xr:uid="{00000000-0005-0000-0000-000001000000}"/>
    <cellStyle name="Normal" xfId="0" builtinId="0"/>
  </cellStyles>
  <dxfs count="0"/>
  <tableStyles count="0" defaultTableStyle="TableStyleMedium9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4</xdr:row>
      <xdr:rowOff>9525</xdr:rowOff>
    </xdr:from>
    <xdr:to>
      <xdr:col>12</xdr:col>
      <xdr:colOff>533400</xdr:colOff>
      <xdr:row>6</xdr:row>
      <xdr:rowOff>38100</xdr:rowOff>
    </xdr:to>
    <xdr:sp macro="" textlink="">
      <xdr:nvSpPr>
        <xdr:cNvPr id="3963" name="Text Box 3">
          <a:extLst>
            <a:ext uri="{FF2B5EF4-FFF2-40B4-BE49-F238E27FC236}">
              <a16:creationId xmlns:a16="http://schemas.microsoft.com/office/drawing/2014/main" id="{00000000-0008-0000-0000-00007B0F0000}"/>
            </a:ext>
          </a:extLst>
        </xdr:cNvPr>
        <xdr:cNvSpPr txBox="1">
          <a:spLocks noChangeArrowheads="1"/>
        </xdr:cNvSpPr>
      </xdr:nvSpPr>
      <xdr:spPr bwMode="auto">
        <a:xfrm>
          <a:off x="1038225" y="514350"/>
          <a:ext cx="53340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</xdr:col>
      <xdr:colOff>485774</xdr:colOff>
      <xdr:row>21</xdr:row>
      <xdr:rowOff>66674</xdr:rowOff>
    </xdr:from>
    <xdr:to>
      <xdr:col>1</xdr:col>
      <xdr:colOff>628649</xdr:colOff>
      <xdr:row>21</xdr:row>
      <xdr:rowOff>200025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523999" y="3562349"/>
          <a:ext cx="142875" cy="133351"/>
        </a:xfrm>
        <a:prstGeom prst="rect">
          <a:avLst/>
        </a:prstGeom>
        <a:solidFill>
          <a:srgbClr val="FFFF00"/>
        </a:solidFill>
        <a:ln w="952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fr-FR" sz="1100" b="0"/>
        </a:p>
      </xdr:txBody>
    </xdr:sp>
    <xdr:clientData/>
  </xdr:twoCellAnchor>
  <xdr:twoCellAnchor>
    <xdr:from>
      <xdr:col>9</xdr:col>
      <xdr:colOff>657224</xdr:colOff>
      <xdr:row>21</xdr:row>
      <xdr:rowOff>76199</xdr:rowOff>
    </xdr:from>
    <xdr:to>
      <xdr:col>9</xdr:col>
      <xdr:colOff>800099</xdr:colOff>
      <xdr:row>21</xdr:row>
      <xdr:rowOff>209550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6572249" y="3571874"/>
          <a:ext cx="142875" cy="133351"/>
        </a:xfrm>
        <a:prstGeom prst="rect">
          <a:avLst/>
        </a:prstGeom>
        <a:ln w="952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fr-FR" sz="1100"/>
        </a:p>
      </xdr:txBody>
    </xdr:sp>
    <xdr:clientData/>
  </xdr:twoCellAnchor>
  <xdr:twoCellAnchor editAs="oneCell">
    <xdr:from>
      <xdr:col>3</xdr:col>
      <xdr:colOff>228600</xdr:colOff>
      <xdr:row>46</xdr:row>
      <xdr:rowOff>228600</xdr:rowOff>
    </xdr:from>
    <xdr:to>
      <xdr:col>5</xdr:col>
      <xdr:colOff>590550</xdr:colOff>
      <xdr:row>48</xdr:row>
      <xdr:rowOff>178819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69EE6547-ADF3-EDC2-F708-4F5BB2F578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86175" y="10563225"/>
          <a:ext cx="1924050" cy="655069"/>
        </a:xfrm>
        <a:prstGeom prst="rect">
          <a:avLst/>
        </a:prstGeom>
      </xdr:spPr>
    </xdr:pic>
    <xdr:clientData/>
  </xdr:twoCellAnchor>
  <xdr:twoCellAnchor editAs="oneCell">
    <xdr:from>
      <xdr:col>5</xdr:col>
      <xdr:colOff>657226</xdr:colOff>
      <xdr:row>46</xdr:row>
      <xdr:rowOff>209551</xdr:rowOff>
    </xdr:from>
    <xdr:to>
      <xdr:col>7</xdr:col>
      <xdr:colOff>542925</xdr:colOff>
      <xdr:row>48</xdr:row>
      <xdr:rowOff>283667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E1F00F81-00FD-0358-5F99-C24EB11A81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1" y="10544176"/>
          <a:ext cx="1381124" cy="77896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4</xdr:row>
      <xdr:rowOff>9525</xdr:rowOff>
    </xdr:from>
    <xdr:to>
      <xdr:col>12</xdr:col>
      <xdr:colOff>533400</xdr:colOff>
      <xdr:row>6</xdr:row>
      <xdr:rowOff>38100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0E140454-EFB1-FE48-9384-73D1194E0948}"/>
            </a:ext>
          </a:extLst>
        </xdr:cNvPr>
        <xdr:cNvSpPr txBox="1">
          <a:spLocks noChangeArrowheads="1"/>
        </xdr:cNvSpPr>
      </xdr:nvSpPr>
      <xdr:spPr bwMode="auto">
        <a:xfrm>
          <a:off x="11252200" y="619125"/>
          <a:ext cx="533400" cy="473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</xdr:col>
      <xdr:colOff>485774</xdr:colOff>
      <xdr:row>21</xdr:row>
      <xdr:rowOff>66674</xdr:rowOff>
    </xdr:from>
    <xdr:to>
      <xdr:col>1</xdr:col>
      <xdr:colOff>628649</xdr:colOff>
      <xdr:row>21</xdr:row>
      <xdr:rowOff>200025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20DB0137-5518-E648-989C-B8D6B113A2A6}"/>
            </a:ext>
          </a:extLst>
        </xdr:cNvPr>
        <xdr:cNvSpPr/>
      </xdr:nvSpPr>
      <xdr:spPr>
        <a:xfrm>
          <a:off x="1666874" y="3495674"/>
          <a:ext cx="142875" cy="133351"/>
        </a:xfrm>
        <a:prstGeom prst="rect">
          <a:avLst/>
        </a:prstGeom>
        <a:solidFill>
          <a:srgbClr val="FFFF00"/>
        </a:solidFill>
        <a:ln w="952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fr-FR" sz="1100" b="0"/>
        </a:p>
      </xdr:txBody>
    </xdr:sp>
    <xdr:clientData/>
  </xdr:twoCellAnchor>
  <xdr:twoCellAnchor>
    <xdr:from>
      <xdr:col>9</xdr:col>
      <xdr:colOff>657224</xdr:colOff>
      <xdr:row>21</xdr:row>
      <xdr:rowOff>76199</xdr:rowOff>
    </xdr:from>
    <xdr:to>
      <xdr:col>9</xdr:col>
      <xdr:colOff>800099</xdr:colOff>
      <xdr:row>21</xdr:row>
      <xdr:rowOff>209550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3A835C1C-9A70-634C-93EE-5E3CC9B01122}"/>
            </a:ext>
          </a:extLst>
        </xdr:cNvPr>
        <xdr:cNvSpPr/>
      </xdr:nvSpPr>
      <xdr:spPr>
        <a:xfrm>
          <a:off x="9217024" y="3505199"/>
          <a:ext cx="142875" cy="133351"/>
        </a:xfrm>
        <a:prstGeom prst="rect">
          <a:avLst/>
        </a:prstGeom>
        <a:ln w="952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fr-FR" sz="1100"/>
        </a:p>
      </xdr:txBody>
    </xdr:sp>
    <xdr:clientData/>
  </xdr:twoCellAnchor>
  <xdr:twoCellAnchor editAs="oneCell">
    <xdr:from>
      <xdr:col>3</xdr:col>
      <xdr:colOff>228600</xdr:colOff>
      <xdr:row>46</xdr:row>
      <xdr:rowOff>228600</xdr:rowOff>
    </xdr:from>
    <xdr:to>
      <xdr:col>5</xdr:col>
      <xdr:colOff>590550</xdr:colOff>
      <xdr:row>48</xdr:row>
      <xdr:rowOff>178819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0A03931B-6CCD-7D48-BB46-BE72E166DB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24300" y="10502900"/>
          <a:ext cx="2012950" cy="636019"/>
        </a:xfrm>
        <a:prstGeom prst="rect">
          <a:avLst/>
        </a:prstGeom>
      </xdr:spPr>
    </xdr:pic>
    <xdr:clientData/>
  </xdr:twoCellAnchor>
  <xdr:twoCellAnchor editAs="oneCell">
    <xdr:from>
      <xdr:col>5</xdr:col>
      <xdr:colOff>657226</xdr:colOff>
      <xdr:row>46</xdr:row>
      <xdr:rowOff>209551</xdr:rowOff>
    </xdr:from>
    <xdr:to>
      <xdr:col>7</xdr:col>
      <xdr:colOff>542925</xdr:colOff>
      <xdr:row>48</xdr:row>
      <xdr:rowOff>283667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7E2FD596-6A57-FD43-AA8B-64119573E4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3926" y="10483851"/>
          <a:ext cx="1473199" cy="75991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4</xdr:row>
      <xdr:rowOff>9525</xdr:rowOff>
    </xdr:from>
    <xdr:to>
      <xdr:col>12</xdr:col>
      <xdr:colOff>533400</xdr:colOff>
      <xdr:row>6</xdr:row>
      <xdr:rowOff>38100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3C08667F-0E57-B24B-9B98-3A468CFD5459}"/>
            </a:ext>
          </a:extLst>
        </xdr:cNvPr>
        <xdr:cNvSpPr txBox="1">
          <a:spLocks noChangeArrowheads="1"/>
        </xdr:cNvSpPr>
      </xdr:nvSpPr>
      <xdr:spPr bwMode="auto">
        <a:xfrm>
          <a:off x="11252200" y="619125"/>
          <a:ext cx="533400" cy="473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</xdr:col>
      <xdr:colOff>485774</xdr:colOff>
      <xdr:row>21</xdr:row>
      <xdr:rowOff>66674</xdr:rowOff>
    </xdr:from>
    <xdr:to>
      <xdr:col>1</xdr:col>
      <xdr:colOff>628649</xdr:colOff>
      <xdr:row>21</xdr:row>
      <xdr:rowOff>200025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C6FA0BA-E8F7-834E-B5A6-B9B677BF3CA6}"/>
            </a:ext>
          </a:extLst>
        </xdr:cNvPr>
        <xdr:cNvSpPr/>
      </xdr:nvSpPr>
      <xdr:spPr>
        <a:xfrm>
          <a:off x="1666874" y="3495674"/>
          <a:ext cx="142875" cy="133351"/>
        </a:xfrm>
        <a:prstGeom prst="rect">
          <a:avLst/>
        </a:prstGeom>
        <a:solidFill>
          <a:srgbClr val="FFFF00"/>
        </a:solidFill>
        <a:ln w="952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fr-FR" sz="1100" b="0"/>
        </a:p>
      </xdr:txBody>
    </xdr:sp>
    <xdr:clientData/>
  </xdr:twoCellAnchor>
  <xdr:twoCellAnchor>
    <xdr:from>
      <xdr:col>9</xdr:col>
      <xdr:colOff>657224</xdr:colOff>
      <xdr:row>21</xdr:row>
      <xdr:rowOff>76199</xdr:rowOff>
    </xdr:from>
    <xdr:to>
      <xdr:col>9</xdr:col>
      <xdr:colOff>800099</xdr:colOff>
      <xdr:row>21</xdr:row>
      <xdr:rowOff>209550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7F5E7A1B-0AAD-8D44-974C-BF1DCB244DA5}"/>
            </a:ext>
          </a:extLst>
        </xdr:cNvPr>
        <xdr:cNvSpPr/>
      </xdr:nvSpPr>
      <xdr:spPr>
        <a:xfrm>
          <a:off x="9217024" y="3505199"/>
          <a:ext cx="142875" cy="133351"/>
        </a:xfrm>
        <a:prstGeom prst="rect">
          <a:avLst/>
        </a:prstGeom>
        <a:ln w="952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fr-FR" sz="1100"/>
        </a:p>
      </xdr:txBody>
    </xdr:sp>
    <xdr:clientData/>
  </xdr:twoCellAnchor>
  <xdr:twoCellAnchor editAs="oneCell">
    <xdr:from>
      <xdr:col>3</xdr:col>
      <xdr:colOff>228600</xdr:colOff>
      <xdr:row>46</xdr:row>
      <xdr:rowOff>228600</xdr:rowOff>
    </xdr:from>
    <xdr:to>
      <xdr:col>5</xdr:col>
      <xdr:colOff>590550</xdr:colOff>
      <xdr:row>48</xdr:row>
      <xdr:rowOff>178819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3D670154-7F88-B14D-A194-80841555B0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24300" y="10502900"/>
          <a:ext cx="2012950" cy="636019"/>
        </a:xfrm>
        <a:prstGeom prst="rect">
          <a:avLst/>
        </a:prstGeom>
      </xdr:spPr>
    </xdr:pic>
    <xdr:clientData/>
  </xdr:twoCellAnchor>
  <xdr:twoCellAnchor editAs="oneCell">
    <xdr:from>
      <xdr:col>5</xdr:col>
      <xdr:colOff>657226</xdr:colOff>
      <xdr:row>46</xdr:row>
      <xdr:rowOff>209551</xdr:rowOff>
    </xdr:from>
    <xdr:to>
      <xdr:col>7</xdr:col>
      <xdr:colOff>542925</xdr:colOff>
      <xdr:row>48</xdr:row>
      <xdr:rowOff>283667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AE460E5A-5061-FA4E-A702-B762233CA8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3926" y="10483851"/>
          <a:ext cx="1473199" cy="75991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4</xdr:row>
      <xdr:rowOff>9525</xdr:rowOff>
    </xdr:from>
    <xdr:to>
      <xdr:col>12</xdr:col>
      <xdr:colOff>533400</xdr:colOff>
      <xdr:row>6</xdr:row>
      <xdr:rowOff>38100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7C921980-94A4-6D41-BDC1-B72CEC94E34E}"/>
            </a:ext>
          </a:extLst>
        </xdr:cNvPr>
        <xdr:cNvSpPr txBox="1">
          <a:spLocks noChangeArrowheads="1"/>
        </xdr:cNvSpPr>
      </xdr:nvSpPr>
      <xdr:spPr bwMode="auto">
        <a:xfrm>
          <a:off x="11252200" y="619125"/>
          <a:ext cx="533400" cy="473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</xdr:col>
      <xdr:colOff>485774</xdr:colOff>
      <xdr:row>21</xdr:row>
      <xdr:rowOff>66674</xdr:rowOff>
    </xdr:from>
    <xdr:to>
      <xdr:col>1</xdr:col>
      <xdr:colOff>628649</xdr:colOff>
      <xdr:row>21</xdr:row>
      <xdr:rowOff>200025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8DD5CAFB-EC1F-8749-B8C3-40DA0C16C023}"/>
            </a:ext>
          </a:extLst>
        </xdr:cNvPr>
        <xdr:cNvSpPr/>
      </xdr:nvSpPr>
      <xdr:spPr>
        <a:xfrm>
          <a:off x="1666874" y="3495674"/>
          <a:ext cx="142875" cy="133351"/>
        </a:xfrm>
        <a:prstGeom prst="rect">
          <a:avLst/>
        </a:prstGeom>
        <a:noFill/>
        <a:ln w="952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fr-FR" sz="1100" b="0"/>
        </a:p>
      </xdr:txBody>
    </xdr:sp>
    <xdr:clientData/>
  </xdr:twoCellAnchor>
  <xdr:twoCellAnchor>
    <xdr:from>
      <xdr:col>9</xdr:col>
      <xdr:colOff>657224</xdr:colOff>
      <xdr:row>21</xdr:row>
      <xdr:rowOff>76199</xdr:rowOff>
    </xdr:from>
    <xdr:to>
      <xdr:col>9</xdr:col>
      <xdr:colOff>800099</xdr:colOff>
      <xdr:row>21</xdr:row>
      <xdr:rowOff>209550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BD8DBCB5-A361-AB47-9709-57E4E0C8436E}"/>
            </a:ext>
          </a:extLst>
        </xdr:cNvPr>
        <xdr:cNvSpPr/>
      </xdr:nvSpPr>
      <xdr:spPr>
        <a:xfrm>
          <a:off x="9217024" y="3505199"/>
          <a:ext cx="142875" cy="133351"/>
        </a:xfrm>
        <a:prstGeom prst="rect">
          <a:avLst/>
        </a:prstGeom>
        <a:noFill/>
        <a:ln w="952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fr-FR" sz="1100"/>
        </a:p>
      </xdr:txBody>
    </xdr:sp>
    <xdr:clientData/>
  </xdr:twoCellAnchor>
  <xdr:twoCellAnchor editAs="oneCell">
    <xdr:from>
      <xdr:col>3</xdr:col>
      <xdr:colOff>228600</xdr:colOff>
      <xdr:row>46</xdr:row>
      <xdr:rowOff>228600</xdr:rowOff>
    </xdr:from>
    <xdr:to>
      <xdr:col>5</xdr:col>
      <xdr:colOff>590550</xdr:colOff>
      <xdr:row>48</xdr:row>
      <xdr:rowOff>178819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6D0FA3D9-E43A-1E44-B511-A081226F41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24300" y="10502900"/>
          <a:ext cx="2012950" cy="636019"/>
        </a:xfrm>
        <a:prstGeom prst="rect">
          <a:avLst/>
        </a:prstGeom>
      </xdr:spPr>
    </xdr:pic>
    <xdr:clientData/>
  </xdr:twoCellAnchor>
  <xdr:twoCellAnchor editAs="oneCell">
    <xdr:from>
      <xdr:col>5</xdr:col>
      <xdr:colOff>657226</xdr:colOff>
      <xdr:row>46</xdr:row>
      <xdr:rowOff>209551</xdr:rowOff>
    </xdr:from>
    <xdr:to>
      <xdr:col>7</xdr:col>
      <xdr:colOff>542925</xdr:colOff>
      <xdr:row>48</xdr:row>
      <xdr:rowOff>283667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D38A2711-0D31-1A43-94C2-DB84DD4D72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3926" y="10483851"/>
          <a:ext cx="1473199" cy="75991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4</xdr:row>
      <xdr:rowOff>9525</xdr:rowOff>
    </xdr:from>
    <xdr:to>
      <xdr:col>12</xdr:col>
      <xdr:colOff>533400</xdr:colOff>
      <xdr:row>6</xdr:row>
      <xdr:rowOff>38100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00C8CC68-E026-E64C-812F-C8B6D2210144}"/>
            </a:ext>
          </a:extLst>
        </xdr:cNvPr>
        <xdr:cNvSpPr txBox="1">
          <a:spLocks noChangeArrowheads="1"/>
        </xdr:cNvSpPr>
      </xdr:nvSpPr>
      <xdr:spPr bwMode="auto">
        <a:xfrm>
          <a:off x="11252200" y="619125"/>
          <a:ext cx="533400" cy="473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</xdr:col>
      <xdr:colOff>485774</xdr:colOff>
      <xdr:row>21</xdr:row>
      <xdr:rowOff>66674</xdr:rowOff>
    </xdr:from>
    <xdr:to>
      <xdr:col>1</xdr:col>
      <xdr:colOff>628649</xdr:colOff>
      <xdr:row>21</xdr:row>
      <xdr:rowOff>200025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953DF7E8-447E-B94D-BE6A-EEC2B90E6B5A}"/>
            </a:ext>
          </a:extLst>
        </xdr:cNvPr>
        <xdr:cNvSpPr/>
      </xdr:nvSpPr>
      <xdr:spPr>
        <a:xfrm>
          <a:off x="1666874" y="3495674"/>
          <a:ext cx="142875" cy="133351"/>
        </a:xfrm>
        <a:prstGeom prst="rect">
          <a:avLst/>
        </a:prstGeom>
        <a:noFill/>
        <a:ln w="952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fr-FR" sz="1100" b="0"/>
        </a:p>
      </xdr:txBody>
    </xdr:sp>
    <xdr:clientData/>
  </xdr:twoCellAnchor>
  <xdr:twoCellAnchor>
    <xdr:from>
      <xdr:col>9</xdr:col>
      <xdr:colOff>657224</xdr:colOff>
      <xdr:row>21</xdr:row>
      <xdr:rowOff>76199</xdr:rowOff>
    </xdr:from>
    <xdr:to>
      <xdr:col>9</xdr:col>
      <xdr:colOff>800099</xdr:colOff>
      <xdr:row>21</xdr:row>
      <xdr:rowOff>209550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EA0CC050-4906-1E44-9CB5-7744CFD68DC1}"/>
            </a:ext>
          </a:extLst>
        </xdr:cNvPr>
        <xdr:cNvSpPr/>
      </xdr:nvSpPr>
      <xdr:spPr>
        <a:xfrm>
          <a:off x="9217024" y="3505199"/>
          <a:ext cx="142875" cy="133351"/>
        </a:xfrm>
        <a:prstGeom prst="rect">
          <a:avLst/>
        </a:prstGeom>
        <a:solidFill>
          <a:srgbClr val="FFFF00"/>
        </a:solidFill>
        <a:ln w="952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fr-FR" sz="1100"/>
        </a:p>
      </xdr:txBody>
    </xdr:sp>
    <xdr:clientData/>
  </xdr:twoCellAnchor>
  <xdr:twoCellAnchor editAs="oneCell">
    <xdr:from>
      <xdr:col>3</xdr:col>
      <xdr:colOff>228600</xdr:colOff>
      <xdr:row>46</xdr:row>
      <xdr:rowOff>228600</xdr:rowOff>
    </xdr:from>
    <xdr:to>
      <xdr:col>5</xdr:col>
      <xdr:colOff>590550</xdr:colOff>
      <xdr:row>48</xdr:row>
      <xdr:rowOff>178819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D9CD5EA8-EA35-3B41-9869-F943AE7099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24300" y="10502900"/>
          <a:ext cx="2012950" cy="636019"/>
        </a:xfrm>
        <a:prstGeom prst="rect">
          <a:avLst/>
        </a:prstGeom>
      </xdr:spPr>
    </xdr:pic>
    <xdr:clientData/>
  </xdr:twoCellAnchor>
  <xdr:twoCellAnchor editAs="oneCell">
    <xdr:from>
      <xdr:col>5</xdr:col>
      <xdr:colOff>657226</xdr:colOff>
      <xdr:row>46</xdr:row>
      <xdr:rowOff>209551</xdr:rowOff>
    </xdr:from>
    <xdr:to>
      <xdr:col>7</xdr:col>
      <xdr:colOff>542925</xdr:colOff>
      <xdr:row>48</xdr:row>
      <xdr:rowOff>283667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61195A2A-41C7-C34D-9180-A09ACFD7F5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3926" y="10483851"/>
          <a:ext cx="1473199" cy="7599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27">
    <pageSetUpPr fitToPage="1"/>
  </sheetPr>
  <dimension ref="A1:N71"/>
  <sheetViews>
    <sheetView zoomScale="150" zoomScaleNormal="150" workbookViewId="0">
      <selection activeCell="A39" sqref="A39:J39"/>
    </sheetView>
  </sheetViews>
  <sheetFormatPr baseColWidth="10" defaultColWidth="11.5" defaultRowHeight="16" x14ac:dyDescent="0.25"/>
  <cols>
    <col min="1" max="1" width="15.5" style="2" customWidth="1"/>
    <col min="2" max="3" width="16.5" style="2" customWidth="1"/>
    <col min="4" max="5" width="10.83203125" style="2" customWidth="1"/>
    <col min="6" max="6" width="10.5" style="2" customWidth="1"/>
    <col min="7" max="7" width="10.33203125" style="2" customWidth="1"/>
    <col min="8" max="8" width="12.33203125" style="2" customWidth="1"/>
    <col min="9" max="9" width="9" style="2" customWidth="1"/>
    <col min="10" max="10" width="12.33203125" style="2" customWidth="1"/>
    <col min="11" max="13" width="11.5" style="2"/>
    <col min="14" max="14" width="35" style="2" bestFit="1" customWidth="1"/>
    <col min="15" max="16384" width="11.5" style="2"/>
  </cols>
  <sheetData>
    <row r="1" spans="1:14" ht="3.75" customHeight="1" x14ac:dyDescent="0.25">
      <c r="A1" s="9"/>
      <c r="B1" s="9"/>
      <c r="C1" s="9"/>
      <c r="D1" s="41"/>
      <c r="E1" s="42"/>
      <c r="F1" s="42"/>
      <c r="G1" s="42"/>
      <c r="H1" s="42"/>
      <c r="I1" s="42"/>
      <c r="J1" s="43"/>
    </row>
    <row r="2" spans="1:14" s="8" customFormat="1" ht="14.25" customHeight="1" x14ac:dyDescent="0.15">
      <c r="A2" s="99" t="s">
        <v>23</v>
      </c>
      <c r="B2" s="99"/>
      <c r="D2" s="100" t="s">
        <v>41</v>
      </c>
      <c r="E2" s="101"/>
      <c r="F2" s="101"/>
      <c r="G2" s="101"/>
      <c r="H2" s="91" t="s">
        <v>63</v>
      </c>
      <c r="I2" s="91"/>
      <c r="J2" s="92"/>
    </row>
    <row r="3" spans="1:14" s="8" customFormat="1" x14ac:dyDescent="0.15">
      <c r="A3" s="89" t="s">
        <v>52</v>
      </c>
      <c r="B3" s="89"/>
      <c r="C3" s="89"/>
      <c r="D3" s="36"/>
      <c r="J3" s="37"/>
    </row>
    <row r="4" spans="1:14" s="8" customFormat="1" ht="15.75" customHeight="1" x14ac:dyDescent="0.15">
      <c r="A4" s="89" t="s">
        <v>53</v>
      </c>
      <c r="B4" s="89"/>
      <c r="C4" s="89"/>
      <c r="D4" s="100" t="s">
        <v>40</v>
      </c>
      <c r="E4" s="101"/>
      <c r="F4" s="101"/>
      <c r="G4" s="101"/>
      <c r="H4" s="102">
        <v>20260291</v>
      </c>
      <c r="I4" s="102"/>
      <c r="J4" s="103"/>
      <c r="L4" s="10"/>
    </row>
    <row r="5" spans="1:14" s="8" customFormat="1" ht="18" x14ac:dyDescent="0.15">
      <c r="A5" s="89" t="s">
        <v>54</v>
      </c>
      <c r="B5" s="89"/>
      <c r="C5" s="89"/>
      <c r="D5" s="95"/>
      <c r="E5" s="96"/>
      <c r="F5" s="96"/>
      <c r="G5" s="96"/>
      <c r="H5" s="97"/>
      <c r="I5" s="97"/>
      <c r="J5" s="98"/>
    </row>
    <row r="6" spans="1:14" s="8" customFormat="1" ht="17.25" customHeight="1" x14ac:dyDescent="0.15">
      <c r="A6" s="89"/>
      <c r="B6" s="89"/>
      <c r="C6" s="89"/>
      <c r="D6" s="95" t="s">
        <v>58</v>
      </c>
      <c r="E6" s="96"/>
      <c r="F6" s="96"/>
      <c r="G6" s="96"/>
      <c r="H6" s="97">
        <v>46157</v>
      </c>
      <c r="I6" s="97"/>
      <c r="J6" s="98"/>
      <c r="L6" s="81"/>
      <c r="M6" s="81"/>
      <c r="N6" s="81"/>
    </row>
    <row r="7" spans="1:14" s="8" customFormat="1" ht="17" x14ac:dyDescent="0.15">
      <c r="D7" s="82"/>
      <c r="E7" s="83"/>
      <c r="F7" s="83"/>
      <c r="G7" s="83"/>
      <c r="H7" s="83"/>
      <c r="I7" s="83"/>
      <c r="J7" s="84"/>
      <c r="L7" s="81"/>
      <c r="M7" s="81"/>
      <c r="N7" s="81"/>
    </row>
    <row r="8" spans="1:14" s="8" customFormat="1" ht="18" x14ac:dyDescent="0.15">
      <c r="A8" s="85" t="s">
        <v>0</v>
      </c>
      <c r="B8" s="85"/>
      <c r="D8" s="86" t="s">
        <v>42</v>
      </c>
      <c r="E8" s="87"/>
      <c r="F8" s="87"/>
      <c r="G8" s="87"/>
      <c r="H8" s="87"/>
      <c r="I8" s="87"/>
      <c r="J8" s="88"/>
    </row>
    <row r="9" spans="1:14" s="8" customFormat="1" ht="12.75" customHeight="1" x14ac:dyDescent="0.15">
      <c r="A9" s="7" t="s">
        <v>1</v>
      </c>
      <c r="B9" s="47" t="s">
        <v>56</v>
      </c>
      <c r="C9" s="47"/>
      <c r="D9" s="82" t="s">
        <v>43</v>
      </c>
      <c r="E9" s="83"/>
      <c r="F9" s="83"/>
      <c r="G9" s="83"/>
      <c r="H9" s="83"/>
      <c r="I9" s="83"/>
      <c r="J9" s="84"/>
    </row>
    <row r="10" spans="1:14" s="8" customFormat="1" ht="12.75" customHeight="1" x14ac:dyDescent="0.15">
      <c r="A10" s="7" t="s">
        <v>2</v>
      </c>
      <c r="B10" s="47">
        <v>93830600283</v>
      </c>
      <c r="C10" s="47"/>
      <c r="D10" s="82" t="s">
        <v>11</v>
      </c>
      <c r="E10" s="83"/>
      <c r="F10" s="83"/>
      <c r="G10" s="83"/>
      <c r="H10" s="83"/>
      <c r="I10" s="83"/>
      <c r="J10" s="84"/>
    </row>
    <row r="11" spans="1:14" s="8" customFormat="1" ht="12.75" customHeight="1" x14ac:dyDescent="0.15">
      <c r="A11" s="7" t="s">
        <v>3</v>
      </c>
      <c r="B11" s="49">
        <v>84089988400026</v>
      </c>
      <c r="C11" s="47"/>
      <c r="D11" s="36"/>
      <c r="J11" s="37"/>
    </row>
    <row r="12" spans="1:14" s="8" customFormat="1" ht="12.75" customHeight="1" x14ac:dyDescent="0.15">
      <c r="A12" s="7" t="s">
        <v>4</v>
      </c>
      <c r="B12" s="89" t="s">
        <v>55</v>
      </c>
      <c r="C12" s="89"/>
      <c r="D12" s="38" t="s">
        <v>24</v>
      </c>
      <c r="E12" s="10"/>
      <c r="F12" s="10"/>
      <c r="G12" s="11"/>
      <c r="H12" s="11"/>
      <c r="J12" s="37"/>
    </row>
    <row r="13" spans="1:14" s="8" customFormat="1" ht="15.75" customHeight="1" x14ac:dyDescent="0.15">
      <c r="B13" s="90"/>
      <c r="C13" s="90"/>
      <c r="D13" s="36" t="s">
        <v>19</v>
      </c>
      <c r="G13" s="12"/>
      <c r="H13" s="91">
        <v>51190</v>
      </c>
      <c r="I13" s="91"/>
      <c r="J13" s="92"/>
    </row>
    <row r="14" spans="1:14" ht="3" customHeight="1" x14ac:dyDescent="0.25">
      <c r="D14" s="93"/>
      <c r="E14" s="51"/>
      <c r="F14" s="51"/>
      <c r="G14" s="51"/>
      <c r="H14" s="51"/>
      <c r="I14" s="51"/>
      <c r="J14" s="94"/>
    </row>
    <row r="15" spans="1:14" x14ac:dyDescent="0.25">
      <c r="A15" s="85" t="s">
        <v>5</v>
      </c>
      <c r="B15" s="85"/>
      <c r="C15" s="13"/>
      <c r="D15" s="39"/>
      <c r="I15" s="14"/>
      <c r="J15" s="40"/>
      <c r="K15" s="14"/>
    </row>
    <row r="16" spans="1:14" s="8" customFormat="1" ht="12.75" customHeight="1" x14ac:dyDescent="0.2">
      <c r="A16" s="7" t="s">
        <v>6</v>
      </c>
      <c r="B16" s="47" t="s">
        <v>59</v>
      </c>
      <c r="D16" s="38" t="s">
        <v>22</v>
      </c>
      <c r="E16" s="10"/>
      <c r="F16" s="10"/>
      <c r="G16" s="8" t="s">
        <v>50</v>
      </c>
      <c r="H16" s="14"/>
      <c r="J16" s="37"/>
    </row>
    <row r="17" spans="1:10" s="8" customFormat="1" ht="12.75" customHeight="1" x14ac:dyDescent="0.15">
      <c r="A17" s="7" t="s">
        <v>7</v>
      </c>
      <c r="B17" s="47">
        <v>16958</v>
      </c>
      <c r="D17" s="36"/>
      <c r="G17" s="80" t="s">
        <v>51</v>
      </c>
      <c r="H17" s="80"/>
      <c r="I17" s="80"/>
      <c r="J17" s="37"/>
    </row>
    <row r="18" spans="1:10" s="8" customFormat="1" ht="12.75" customHeight="1" x14ac:dyDescent="0.15">
      <c r="A18" s="7" t="s">
        <v>8</v>
      </c>
      <c r="B18" s="48" t="s">
        <v>62</v>
      </c>
      <c r="D18" s="36"/>
      <c r="G18" s="80"/>
      <c r="H18" s="80"/>
      <c r="I18" s="80"/>
      <c r="J18" s="37"/>
    </row>
    <row r="19" spans="1:10" s="8" customFormat="1" ht="12.75" customHeight="1" x14ac:dyDescent="0.15">
      <c r="A19" s="7" t="s">
        <v>9</v>
      </c>
      <c r="B19" s="47">
        <v>23326192434</v>
      </c>
      <c r="D19" s="36"/>
      <c r="J19" s="37"/>
    </row>
    <row r="20" spans="1:10" s="8" customFormat="1" ht="12.75" customHeight="1" x14ac:dyDescent="0.15">
      <c r="A20" s="7" t="s">
        <v>10</v>
      </c>
      <c r="B20" s="47">
        <v>45</v>
      </c>
      <c r="D20" s="44"/>
      <c r="E20" s="45"/>
      <c r="F20" s="45"/>
      <c r="G20" s="45"/>
      <c r="H20" s="45"/>
      <c r="I20" s="45"/>
      <c r="J20" s="46"/>
    </row>
    <row r="21" spans="1:10" ht="10.5" customHeight="1" x14ac:dyDescent="0.25">
      <c r="D21" s="51"/>
      <c r="E21" s="51"/>
      <c r="F21" s="51"/>
      <c r="G21" s="51"/>
      <c r="H21" s="51"/>
      <c r="I21" s="51"/>
      <c r="J21" s="51"/>
    </row>
    <row r="22" spans="1:10" s="8" customFormat="1" ht="21.75" customHeight="1" x14ac:dyDescent="0.15">
      <c r="A22" s="73" t="s">
        <v>34</v>
      </c>
      <c r="B22" s="73"/>
      <c r="C22" s="20" t="s">
        <v>29</v>
      </c>
      <c r="D22" s="74">
        <v>46113</v>
      </c>
      <c r="E22" s="75"/>
      <c r="F22" s="21" t="s">
        <v>30</v>
      </c>
      <c r="G22" s="74">
        <v>46125</v>
      </c>
      <c r="H22" s="75"/>
      <c r="I22" s="76" t="s">
        <v>28</v>
      </c>
      <c r="J22" s="76"/>
    </row>
    <row r="23" spans="1:10" s="8" customFormat="1" ht="3.75" customHeight="1" x14ac:dyDescent="0.15">
      <c r="A23" s="31"/>
      <c r="B23" s="31"/>
      <c r="C23" s="20"/>
      <c r="D23" s="20"/>
      <c r="E23" s="20"/>
      <c r="F23" s="20"/>
      <c r="G23" s="21"/>
      <c r="H23" s="20"/>
      <c r="I23" s="31"/>
      <c r="J23" s="31"/>
    </row>
    <row r="24" spans="1:10" s="8" customFormat="1" ht="21.75" customHeight="1" x14ac:dyDescent="0.15">
      <c r="A24" s="77" t="s">
        <v>35</v>
      </c>
      <c r="B24" s="77"/>
      <c r="C24" s="77"/>
      <c r="D24" s="75" t="s">
        <v>63</v>
      </c>
      <c r="E24" s="75"/>
      <c r="F24" s="75"/>
      <c r="G24" s="21"/>
      <c r="H24" s="20"/>
      <c r="I24" s="31"/>
      <c r="J24" s="31"/>
    </row>
    <row r="25" spans="1:10" ht="3" customHeight="1" x14ac:dyDescent="0.25">
      <c r="D25" s="51"/>
      <c r="E25" s="51"/>
      <c r="F25" s="51"/>
      <c r="G25" s="51"/>
      <c r="H25" s="51"/>
      <c r="I25" s="51"/>
      <c r="J25" s="51"/>
    </row>
    <row r="26" spans="1:10" s="1" customFormat="1" ht="21.75" customHeight="1" x14ac:dyDescent="0.2">
      <c r="A26" s="3" t="s">
        <v>12</v>
      </c>
      <c r="B26" s="78" t="s">
        <v>60</v>
      </c>
      <c r="C26" s="78"/>
      <c r="D26" s="78"/>
      <c r="E26" s="78"/>
      <c r="F26" s="78"/>
      <c r="G26" s="78"/>
      <c r="H26" s="78"/>
      <c r="I26" s="78"/>
      <c r="J26" s="78"/>
    </row>
    <row r="27" spans="1:10" ht="3" customHeight="1" x14ac:dyDescent="0.25">
      <c r="D27" s="51"/>
      <c r="E27" s="51"/>
      <c r="F27" s="51"/>
      <c r="G27" s="51"/>
      <c r="H27" s="51"/>
      <c r="I27" s="51"/>
      <c r="J27" s="51"/>
    </row>
    <row r="28" spans="1:10" s="1" customFormat="1" ht="21.75" customHeight="1" x14ac:dyDescent="0.2">
      <c r="A28" s="4" t="s">
        <v>13</v>
      </c>
      <c r="B28" s="6">
        <v>46113</v>
      </c>
      <c r="C28" s="4" t="s">
        <v>14</v>
      </c>
      <c r="D28" s="6">
        <v>46199</v>
      </c>
      <c r="E28" s="6"/>
      <c r="F28" s="6"/>
      <c r="G28" s="5"/>
      <c r="H28" s="79"/>
      <c r="I28" s="79"/>
      <c r="J28" s="79"/>
    </row>
    <row r="29" spans="1:10" ht="3" customHeight="1" x14ac:dyDescent="0.25">
      <c r="D29" s="51"/>
      <c r="E29" s="51"/>
      <c r="F29" s="51"/>
      <c r="G29" s="51"/>
      <c r="H29" s="51"/>
      <c r="I29" s="51"/>
      <c r="J29" s="51"/>
    </row>
    <row r="30" spans="1:10" s="1" customFormat="1" ht="21.75" customHeight="1" x14ac:dyDescent="0.2">
      <c r="A30" s="4" t="s">
        <v>15</v>
      </c>
      <c r="B30" s="72" t="s">
        <v>57</v>
      </c>
      <c r="C30" s="72"/>
      <c r="D30" s="72"/>
      <c r="E30" s="72"/>
      <c r="F30" s="72"/>
      <c r="G30" s="72"/>
      <c r="H30" s="72"/>
      <c r="I30" s="72"/>
      <c r="J30" s="72"/>
    </row>
    <row r="31" spans="1:10" ht="3" customHeight="1" x14ac:dyDescent="0.25">
      <c r="D31" s="51"/>
      <c r="E31" s="51"/>
      <c r="F31" s="51"/>
      <c r="G31" s="51"/>
      <c r="H31" s="51"/>
      <c r="I31" s="51"/>
      <c r="J31" s="51"/>
    </row>
    <row r="32" spans="1:10" ht="53.25" customHeight="1" x14ac:dyDescent="0.25">
      <c r="A32" s="32" t="s">
        <v>36</v>
      </c>
      <c r="B32" s="35"/>
      <c r="C32" s="22" t="s">
        <v>31</v>
      </c>
      <c r="D32" s="22" t="s">
        <v>37</v>
      </c>
      <c r="E32" s="22" t="s">
        <v>32</v>
      </c>
      <c r="F32" s="22" t="s">
        <v>16</v>
      </c>
      <c r="G32" s="16" t="s">
        <v>17</v>
      </c>
      <c r="H32" s="28" t="s">
        <v>18</v>
      </c>
      <c r="I32" s="71" t="s">
        <v>20</v>
      </c>
      <c r="J32" s="71"/>
    </row>
    <row r="33" spans="1:14" ht="43.5" customHeight="1" x14ac:dyDescent="0.25">
      <c r="A33" s="68" t="s">
        <v>46</v>
      </c>
      <c r="B33" s="69"/>
      <c r="C33" s="17">
        <v>465</v>
      </c>
      <c r="D33" s="23">
        <v>0</v>
      </c>
      <c r="E33" s="25">
        <v>0</v>
      </c>
      <c r="F33" s="23">
        <v>0</v>
      </c>
      <c r="G33" s="17">
        <f>C33+F33</f>
        <v>465</v>
      </c>
      <c r="H33" s="29">
        <v>12.1</v>
      </c>
      <c r="I33" s="70">
        <f>(G33)*H33</f>
        <v>5626.5</v>
      </c>
      <c r="J33" s="70"/>
      <c r="N33" s="2" t="s">
        <v>45</v>
      </c>
    </row>
    <row r="34" spans="1:14" ht="43.25" customHeight="1" x14ac:dyDescent="0.25">
      <c r="A34" s="68"/>
      <c r="B34" s="69"/>
      <c r="C34" s="17"/>
      <c r="D34" s="23"/>
      <c r="E34" s="25"/>
      <c r="F34" s="23"/>
      <c r="G34" s="17"/>
      <c r="H34" s="29"/>
      <c r="I34" s="70">
        <f t="shared" ref="I34:I37" si="0">(G34)*H34</f>
        <v>0</v>
      </c>
      <c r="J34" s="70"/>
      <c r="N34" s="2" t="s">
        <v>49</v>
      </c>
    </row>
    <row r="35" spans="1:14" ht="43.5" customHeight="1" x14ac:dyDescent="0.25">
      <c r="A35" s="68"/>
      <c r="B35" s="69"/>
      <c r="C35" s="17"/>
      <c r="D35" s="23"/>
      <c r="E35" s="25"/>
      <c r="F35" s="23"/>
      <c r="G35" s="17">
        <f t="shared" ref="G35:G36" si="1">C35+F35</f>
        <v>0</v>
      </c>
      <c r="H35" s="29"/>
      <c r="I35" s="70">
        <f t="shared" si="0"/>
        <v>0</v>
      </c>
      <c r="J35" s="70"/>
      <c r="N35" s="2" t="s">
        <v>46</v>
      </c>
    </row>
    <row r="36" spans="1:14" ht="43.5" customHeight="1" x14ac:dyDescent="0.25">
      <c r="A36" s="68"/>
      <c r="B36" s="69"/>
      <c r="C36" s="17"/>
      <c r="D36" s="23"/>
      <c r="E36" s="25"/>
      <c r="F36" s="23"/>
      <c r="G36" s="17">
        <f t="shared" si="1"/>
        <v>0</v>
      </c>
      <c r="H36" s="29"/>
      <c r="I36" s="70">
        <f t="shared" si="0"/>
        <v>0</v>
      </c>
      <c r="J36" s="70"/>
      <c r="N36" s="2" t="s">
        <v>48</v>
      </c>
    </row>
    <row r="37" spans="1:14" ht="43.5" customHeight="1" x14ac:dyDescent="0.25">
      <c r="A37" s="68"/>
      <c r="B37" s="69"/>
      <c r="C37" s="17"/>
      <c r="D37" s="23"/>
      <c r="E37" s="25"/>
      <c r="F37" s="23"/>
      <c r="G37" s="17">
        <f>C37+F37</f>
        <v>0</v>
      </c>
      <c r="H37" s="29"/>
      <c r="I37" s="70">
        <f t="shared" si="0"/>
        <v>0</v>
      </c>
      <c r="J37" s="70"/>
      <c r="N37" s="2" t="s">
        <v>47</v>
      </c>
    </row>
    <row r="38" spans="1:14" ht="43.5" customHeight="1" x14ac:dyDescent="0.25">
      <c r="A38" s="59"/>
      <c r="B38" s="60"/>
      <c r="C38" s="18" t="s">
        <v>21</v>
      </c>
      <c r="D38" s="24">
        <f>SUM(D33:D37)</f>
        <v>0</v>
      </c>
      <c r="E38" s="24">
        <f>SUM(E33:E37)</f>
        <v>0</v>
      </c>
      <c r="F38" s="24">
        <f>SUM(F33:F37)</f>
        <v>0</v>
      </c>
      <c r="G38" s="19">
        <f>SUM(G33:G37)</f>
        <v>465</v>
      </c>
      <c r="H38" s="30">
        <v>12.1</v>
      </c>
      <c r="I38" s="61">
        <f>SUM(I33:J37)</f>
        <v>5626.5</v>
      </c>
      <c r="J38" s="61"/>
      <c r="L38" s="33" t="s">
        <v>39</v>
      </c>
      <c r="M38" s="34" t="e">
        <f>I33+#REF!+#REF!+I37</f>
        <v>#REF!</v>
      </c>
    </row>
    <row r="39" spans="1:14" ht="12.75" customHeight="1" x14ac:dyDescent="0.25">
      <c r="A39" s="62"/>
      <c r="B39" s="62"/>
      <c r="C39" s="62"/>
      <c r="D39" s="62"/>
      <c r="E39" s="62"/>
      <c r="F39" s="62"/>
      <c r="G39" s="62"/>
      <c r="H39" s="62"/>
      <c r="I39" s="62"/>
      <c r="J39" s="62"/>
    </row>
    <row r="40" spans="1:14" ht="3" customHeight="1" x14ac:dyDescent="0.25">
      <c r="D40" s="51"/>
      <c r="E40" s="51"/>
      <c r="F40" s="51"/>
      <c r="G40" s="51"/>
      <c r="H40" s="51"/>
      <c r="I40" s="51"/>
      <c r="J40" s="51"/>
      <c r="N40" s="33" t="s">
        <v>38</v>
      </c>
    </row>
    <row r="41" spans="1:14" ht="7.5" customHeight="1" x14ac:dyDescent="0.25">
      <c r="A41" s="26"/>
      <c r="B41" s="26"/>
      <c r="C41" s="27"/>
      <c r="D41" s="27"/>
      <c r="E41" s="27"/>
      <c r="F41" s="27"/>
      <c r="G41" s="27"/>
      <c r="H41" s="27"/>
      <c r="I41" s="27"/>
      <c r="J41" s="27"/>
    </row>
    <row r="42" spans="1:14" ht="31.5" customHeight="1" x14ac:dyDescent="0.25">
      <c r="A42" s="63" t="s">
        <v>27</v>
      </c>
      <c r="B42" s="63"/>
      <c r="C42" s="64">
        <f>I38</f>
        <v>5626.5</v>
      </c>
      <c r="D42" s="65"/>
      <c r="E42" s="66"/>
      <c r="F42" s="67" t="s">
        <v>64</v>
      </c>
      <c r="G42" s="67"/>
      <c r="H42" s="67"/>
      <c r="I42" s="67"/>
      <c r="J42" s="67"/>
    </row>
    <row r="43" spans="1:14" ht="3" customHeight="1" x14ac:dyDescent="0.25">
      <c r="D43" s="51"/>
      <c r="E43" s="51"/>
      <c r="F43" s="51"/>
      <c r="G43" s="51"/>
      <c r="H43" s="51"/>
      <c r="I43" s="51"/>
      <c r="J43" s="51"/>
    </row>
    <row r="44" spans="1:14" ht="25.5" customHeight="1" x14ac:dyDescent="0.25">
      <c r="A44" s="52" t="s">
        <v>44</v>
      </c>
      <c r="B44" s="53"/>
      <c r="C44" s="53"/>
      <c r="D44" s="53"/>
      <c r="E44" s="53"/>
      <c r="F44" s="53"/>
      <c r="G44" s="53"/>
      <c r="H44" s="53"/>
      <c r="I44" s="53"/>
      <c r="J44" s="54"/>
      <c r="K44" s="9"/>
      <c r="L44" s="9"/>
      <c r="M44" s="9"/>
      <c r="N44" s="9"/>
    </row>
    <row r="45" spans="1:14" s="1" customFormat="1" ht="24.75" customHeight="1" x14ac:dyDescent="0.2">
      <c r="A45" s="55" t="s">
        <v>25</v>
      </c>
      <c r="B45" s="56"/>
      <c r="C45" s="56"/>
      <c r="D45" s="56"/>
      <c r="E45" s="56"/>
      <c r="F45" s="56"/>
      <c r="G45" s="56"/>
      <c r="H45" s="56"/>
      <c r="I45" s="56"/>
      <c r="J45" s="56"/>
    </row>
    <row r="46" spans="1:14" ht="3" customHeight="1" x14ac:dyDescent="0.25">
      <c r="D46" s="51"/>
      <c r="E46" s="51"/>
      <c r="F46" s="51"/>
      <c r="G46" s="51"/>
      <c r="H46" s="51"/>
      <c r="I46" s="51"/>
      <c r="J46" s="51"/>
    </row>
    <row r="47" spans="1:14" s="8" customFormat="1" ht="27.75" customHeight="1" x14ac:dyDescent="0.15">
      <c r="A47" s="57" t="s">
        <v>26</v>
      </c>
      <c r="B47" s="57"/>
      <c r="C47" s="58" t="s">
        <v>33</v>
      </c>
      <c r="D47" s="58"/>
      <c r="E47" s="58"/>
      <c r="F47" s="58"/>
      <c r="G47" s="58"/>
      <c r="H47" s="58"/>
      <c r="I47" s="58"/>
      <c r="J47" s="58"/>
    </row>
    <row r="48" spans="1:14" ht="27.75" customHeight="1" x14ac:dyDescent="0.25">
      <c r="A48" s="57"/>
      <c r="B48" s="57"/>
      <c r="C48" s="58"/>
      <c r="D48" s="58"/>
      <c r="E48" s="58"/>
      <c r="F48" s="58"/>
      <c r="G48" s="58"/>
      <c r="H48" s="58"/>
      <c r="I48" s="58"/>
      <c r="J48" s="58"/>
    </row>
    <row r="49" spans="1:10" ht="27.75" customHeight="1" x14ac:dyDescent="0.25">
      <c r="A49" s="57"/>
      <c r="B49" s="57"/>
      <c r="C49" s="58"/>
      <c r="D49" s="58"/>
      <c r="E49" s="58"/>
      <c r="F49" s="58"/>
      <c r="G49" s="58"/>
      <c r="H49" s="58"/>
      <c r="I49" s="58"/>
      <c r="J49" s="58"/>
    </row>
    <row r="50" spans="1:10" ht="13.5" customHeight="1" x14ac:dyDescent="0.25">
      <c r="B50" s="15"/>
      <c r="C50" s="15"/>
      <c r="D50" s="15" t="s">
        <v>61</v>
      </c>
      <c r="E50" s="15"/>
      <c r="F50" s="15"/>
      <c r="G50" s="50"/>
      <c r="H50" s="50"/>
      <c r="I50" s="50"/>
      <c r="J50" s="50"/>
    </row>
    <row r="51" spans="1:10" x14ac:dyDescent="0.25">
      <c r="A51" s="1"/>
      <c r="B51" s="1"/>
      <c r="C51" s="1"/>
      <c r="D51" s="1"/>
      <c r="E51" s="1"/>
      <c r="F51" s="1"/>
      <c r="G51" s="1"/>
      <c r="H51" s="1"/>
      <c r="I51" s="1"/>
    </row>
    <row r="52" spans="1:10" x14ac:dyDescent="0.25">
      <c r="A52" s="1"/>
      <c r="B52" s="1"/>
      <c r="C52" s="1"/>
      <c r="D52" s="1"/>
      <c r="E52" s="1"/>
      <c r="F52" s="1"/>
      <c r="G52" s="1"/>
      <c r="H52" s="1"/>
      <c r="I52" s="1"/>
    </row>
    <row r="53" spans="1:10" x14ac:dyDescent="0.25">
      <c r="A53" s="1"/>
      <c r="B53" s="1"/>
      <c r="C53" s="1"/>
      <c r="D53" s="1"/>
      <c r="E53" s="1"/>
      <c r="F53" s="1"/>
      <c r="G53" s="1"/>
      <c r="H53" s="1"/>
      <c r="I53" s="1"/>
    </row>
    <row r="54" spans="1:10" x14ac:dyDescent="0.25">
      <c r="A54" s="1"/>
      <c r="B54" s="1"/>
      <c r="C54" s="1"/>
      <c r="D54" s="1"/>
      <c r="E54" s="1"/>
      <c r="F54" s="1"/>
      <c r="G54" s="1"/>
      <c r="H54" s="1"/>
      <c r="I54" s="1"/>
    </row>
    <row r="55" spans="1:10" x14ac:dyDescent="0.25">
      <c r="A55" s="1"/>
      <c r="B55" s="1"/>
      <c r="C55" s="1"/>
      <c r="D55" s="1"/>
      <c r="E55" s="1"/>
      <c r="F55" s="1"/>
      <c r="G55" s="1"/>
      <c r="H55" s="1"/>
      <c r="I55" s="1"/>
    </row>
    <row r="56" spans="1:10" x14ac:dyDescent="0.25">
      <c r="A56" s="1"/>
      <c r="B56" s="1"/>
      <c r="C56" s="1"/>
      <c r="D56" s="1"/>
      <c r="E56" s="1"/>
      <c r="F56" s="1"/>
      <c r="G56" s="1"/>
      <c r="H56" s="1"/>
      <c r="I56" s="1"/>
    </row>
    <row r="57" spans="1:10" x14ac:dyDescent="0.25">
      <c r="A57" s="1"/>
      <c r="B57" s="1"/>
      <c r="C57" s="1"/>
      <c r="D57" s="1"/>
      <c r="E57" s="1"/>
      <c r="F57" s="1"/>
      <c r="G57" s="1"/>
      <c r="H57" s="1"/>
      <c r="I57" s="1"/>
    </row>
    <row r="58" spans="1:10" x14ac:dyDescent="0.25">
      <c r="A58" s="1"/>
      <c r="B58" s="1"/>
      <c r="C58" s="1"/>
      <c r="D58" s="1"/>
      <c r="E58" s="1"/>
      <c r="F58" s="1"/>
      <c r="G58" s="1"/>
      <c r="H58" s="1"/>
      <c r="I58" s="1"/>
    </row>
    <row r="59" spans="1:10" x14ac:dyDescent="0.25">
      <c r="A59" s="1"/>
      <c r="B59" s="1"/>
      <c r="C59" s="1"/>
      <c r="D59" s="1"/>
      <c r="E59" s="1"/>
      <c r="F59" s="1"/>
      <c r="G59" s="1"/>
      <c r="H59" s="1"/>
      <c r="I59" s="1"/>
    </row>
    <row r="60" spans="1:10" x14ac:dyDescent="0.25">
      <c r="A60" s="1"/>
      <c r="B60" s="1"/>
      <c r="C60" s="1"/>
      <c r="D60" s="1"/>
      <c r="E60" s="1"/>
      <c r="F60" s="1"/>
      <c r="G60" s="1"/>
      <c r="H60" s="1"/>
      <c r="I60" s="1"/>
    </row>
    <row r="61" spans="1:10" x14ac:dyDescent="0.25">
      <c r="A61" s="1"/>
      <c r="B61" s="1"/>
      <c r="C61" s="1"/>
      <c r="D61" s="1"/>
      <c r="E61" s="1"/>
      <c r="F61" s="1"/>
      <c r="G61" s="1"/>
      <c r="H61" s="1"/>
      <c r="I61" s="1"/>
    </row>
    <row r="62" spans="1:10" x14ac:dyDescent="0.25">
      <c r="A62" s="1"/>
      <c r="B62" s="1"/>
      <c r="C62" s="1"/>
      <c r="D62" s="1"/>
      <c r="E62" s="1"/>
      <c r="F62" s="1"/>
      <c r="G62" s="1"/>
      <c r="H62" s="1"/>
      <c r="I62" s="1"/>
    </row>
    <row r="63" spans="1:10" x14ac:dyDescent="0.25">
      <c r="A63" s="1"/>
      <c r="B63" s="1"/>
      <c r="C63" s="1"/>
      <c r="D63" s="1"/>
      <c r="E63" s="1"/>
      <c r="F63" s="1"/>
      <c r="G63" s="1"/>
      <c r="H63" s="1"/>
      <c r="I63" s="1"/>
    </row>
    <row r="64" spans="1:10" x14ac:dyDescent="0.25">
      <c r="A64" s="1"/>
      <c r="B64" s="1"/>
      <c r="C64" s="1"/>
      <c r="D64" s="1"/>
      <c r="E64" s="1"/>
      <c r="F64" s="1"/>
      <c r="G64" s="1"/>
      <c r="H64" s="1"/>
      <c r="I64" s="1"/>
    </row>
    <row r="65" spans="1:9" x14ac:dyDescent="0.25">
      <c r="A65" s="1"/>
      <c r="B65" s="1"/>
      <c r="C65" s="1"/>
      <c r="D65" s="1"/>
      <c r="E65" s="1"/>
      <c r="F65" s="1"/>
      <c r="G65" s="1"/>
      <c r="H65" s="1"/>
      <c r="I65" s="1"/>
    </row>
    <row r="66" spans="1:9" x14ac:dyDescent="0.25">
      <c r="A66" s="1"/>
      <c r="B66" s="1"/>
      <c r="C66" s="1"/>
      <c r="D66" s="1"/>
      <c r="E66" s="1"/>
      <c r="F66" s="1"/>
      <c r="G66" s="1"/>
      <c r="H66" s="1"/>
      <c r="I66" s="1"/>
    </row>
    <row r="67" spans="1:9" x14ac:dyDescent="0.25">
      <c r="A67" s="1"/>
      <c r="B67" s="1"/>
      <c r="C67" s="1"/>
      <c r="D67" s="1"/>
      <c r="E67" s="1"/>
      <c r="F67" s="1"/>
      <c r="G67" s="1"/>
      <c r="H67" s="1"/>
      <c r="I67" s="1"/>
    </row>
    <row r="68" spans="1:9" x14ac:dyDescent="0.25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25">
      <c r="A69" s="1"/>
      <c r="B69" s="1"/>
      <c r="C69" s="1"/>
      <c r="D69" s="1"/>
      <c r="E69" s="1"/>
      <c r="F69" s="1"/>
      <c r="G69" s="1"/>
      <c r="H69" s="1"/>
      <c r="I69" s="1"/>
    </row>
    <row r="70" spans="1:9" x14ac:dyDescent="0.25">
      <c r="A70" s="1"/>
      <c r="B70" s="1"/>
      <c r="C70" s="1"/>
      <c r="D70" s="1"/>
      <c r="E70" s="1"/>
      <c r="F70" s="1"/>
      <c r="G70" s="1"/>
      <c r="H70" s="1"/>
      <c r="I70" s="1"/>
    </row>
    <row r="71" spans="1:9" x14ac:dyDescent="0.25">
      <c r="A71" s="1"/>
      <c r="B71" s="1"/>
      <c r="C71" s="1"/>
      <c r="D71" s="1"/>
      <c r="E71" s="1"/>
      <c r="F71" s="1"/>
      <c r="G71" s="1"/>
      <c r="H71" s="1"/>
      <c r="I71" s="1"/>
    </row>
  </sheetData>
  <mergeCells count="64">
    <mergeCell ref="H6:J6"/>
    <mergeCell ref="D9:J9"/>
    <mergeCell ref="D10:J10"/>
    <mergeCell ref="D40:J40"/>
    <mergeCell ref="A39:J39"/>
    <mergeCell ref="I33:J33"/>
    <mergeCell ref="A33:B33"/>
    <mergeCell ref="I37:J37"/>
    <mergeCell ref="A37:B37"/>
    <mergeCell ref="B26:J26"/>
    <mergeCell ref="H28:J28"/>
    <mergeCell ref="D29:J29"/>
    <mergeCell ref="D31:J31"/>
    <mergeCell ref="I34:J34"/>
    <mergeCell ref="I35:J35"/>
    <mergeCell ref="I36:J36"/>
    <mergeCell ref="L6:N7"/>
    <mergeCell ref="B30:J30"/>
    <mergeCell ref="D21:J21"/>
    <mergeCell ref="A15:B15"/>
    <mergeCell ref="D8:J8"/>
    <mergeCell ref="A6:C6"/>
    <mergeCell ref="B12:C12"/>
    <mergeCell ref="B13:C13"/>
    <mergeCell ref="D14:J14"/>
    <mergeCell ref="D7:J7"/>
    <mergeCell ref="H13:J13"/>
    <mergeCell ref="A22:B22"/>
    <mergeCell ref="D22:E22"/>
    <mergeCell ref="G22:H22"/>
    <mergeCell ref="A8:B8"/>
    <mergeCell ref="D6:G6"/>
    <mergeCell ref="A2:B2"/>
    <mergeCell ref="D27:J27"/>
    <mergeCell ref="D2:G2"/>
    <mergeCell ref="D4:G4"/>
    <mergeCell ref="A3:C3"/>
    <mergeCell ref="A4:C4"/>
    <mergeCell ref="A5:C5"/>
    <mergeCell ref="H2:J2"/>
    <mergeCell ref="H4:J4"/>
    <mergeCell ref="A24:C24"/>
    <mergeCell ref="G17:I18"/>
    <mergeCell ref="I22:J22"/>
    <mergeCell ref="D25:J25"/>
    <mergeCell ref="D5:G5"/>
    <mergeCell ref="H5:J5"/>
    <mergeCell ref="D24:F24"/>
    <mergeCell ref="A42:B42"/>
    <mergeCell ref="F42:J42"/>
    <mergeCell ref="C42:E42"/>
    <mergeCell ref="I38:J38"/>
    <mergeCell ref="I32:J32"/>
    <mergeCell ref="A38:B38"/>
    <mergeCell ref="A35:B35"/>
    <mergeCell ref="A34:B34"/>
    <mergeCell ref="A36:B36"/>
    <mergeCell ref="G50:J50"/>
    <mergeCell ref="D43:J43"/>
    <mergeCell ref="D46:J46"/>
    <mergeCell ref="A45:J45"/>
    <mergeCell ref="A44:J44"/>
    <mergeCell ref="A47:B49"/>
    <mergeCell ref="C47:J49"/>
  </mergeCells>
  <phoneticPr fontId="0" type="noConversion"/>
  <dataValidations count="1">
    <dataValidation type="list" allowBlank="1" showInputMessage="1" showErrorMessage="1" sqref="A33:B37" xr:uid="{00000000-0002-0000-0000-000000000000}">
      <formula1>$N$33:$N$38</formula1>
    </dataValidation>
  </dataValidations>
  <printOptions horizontalCentered="1"/>
  <pageMargins left="3.937007874015748E-2" right="3.937007874015748E-2" top="0" bottom="0" header="0.31496062992125984" footer="0.31496062992125984"/>
  <pageSetup paperSize="9" scale="85" fitToHeight="0" orientation="portrait" copies="3" r:id="rId1"/>
  <headerFooter alignWithMargins="0">
    <oddFooter>&amp;L&amp;"Arial Unicode MS,Normal"&amp;8&amp;F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2C733-290A-7B4A-A22D-D1993FDB1B95}">
  <sheetPr>
    <pageSetUpPr fitToPage="1"/>
  </sheetPr>
  <dimension ref="A1:N71"/>
  <sheetViews>
    <sheetView zoomScale="150" zoomScaleNormal="150" workbookViewId="0">
      <selection activeCell="K45" sqref="K45"/>
    </sheetView>
  </sheetViews>
  <sheetFormatPr baseColWidth="10" defaultColWidth="11.5" defaultRowHeight="16" x14ac:dyDescent="0.25"/>
  <cols>
    <col min="1" max="1" width="15.5" style="2" customWidth="1"/>
    <col min="2" max="3" width="16.5" style="2" customWidth="1"/>
    <col min="4" max="5" width="10.83203125" style="2" customWidth="1"/>
    <col min="6" max="6" width="10.5" style="2" customWidth="1"/>
    <col min="7" max="7" width="10.33203125" style="2" customWidth="1"/>
    <col min="8" max="8" width="12.33203125" style="2" customWidth="1"/>
    <col min="9" max="9" width="9" style="2" customWidth="1"/>
    <col min="10" max="10" width="12.33203125" style="2" customWidth="1"/>
    <col min="11" max="13" width="11.5" style="2"/>
    <col min="14" max="14" width="35" style="2" bestFit="1" customWidth="1"/>
    <col min="15" max="16384" width="11.5" style="2"/>
  </cols>
  <sheetData>
    <row r="1" spans="1:14" ht="3.75" customHeight="1" x14ac:dyDescent="0.25">
      <c r="A1" s="9"/>
      <c r="B1" s="9"/>
      <c r="C1" s="9"/>
      <c r="D1" s="41"/>
      <c r="E1" s="42"/>
      <c r="F1" s="42"/>
      <c r="G1" s="42"/>
      <c r="H1" s="42"/>
      <c r="I1" s="42"/>
      <c r="J1" s="43"/>
    </row>
    <row r="2" spans="1:14" s="8" customFormat="1" ht="14.25" customHeight="1" x14ac:dyDescent="0.15">
      <c r="A2" s="99" t="s">
        <v>23</v>
      </c>
      <c r="B2" s="99"/>
      <c r="D2" s="100" t="s">
        <v>41</v>
      </c>
      <c r="E2" s="101"/>
      <c r="F2" s="101"/>
      <c r="G2" s="101"/>
      <c r="H2" s="91" t="s">
        <v>65</v>
      </c>
      <c r="I2" s="91"/>
      <c r="J2" s="92"/>
    </row>
    <row r="3" spans="1:14" s="8" customFormat="1" x14ac:dyDescent="0.15">
      <c r="A3" s="89" t="s">
        <v>52</v>
      </c>
      <c r="B3" s="89"/>
      <c r="C3" s="89"/>
      <c r="D3" s="36"/>
      <c r="J3" s="37"/>
    </row>
    <row r="4" spans="1:14" s="8" customFormat="1" ht="15.75" customHeight="1" x14ac:dyDescent="0.15">
      <c r="A4" s="89" t="s">
        <v>53</v>
      </c>
      <c r="B4" s="89"/>
      <c r="C4" s="89"/>
      <c r="D4" s="100" t="s">
        <v>40</v>
      </c>
      <c r="E4" s="101"/>
      <c r="F4" s="101"/>
      <c r="G4" s="101"/>
      <c r="H4" s="102">
        <v>20260292</v>
      </c>
      <c r="I4" s="102"/>
      <c r="J4" s="103"/>
      <c r="L4" s="10"/>
    </row>
    <row r="5" spans="1:14" s="8" customFormat="1" ht="18" x14ac:dyDescent="0.15">
      <c r="A5" s="89" t="s">
        <v>54</v>
      </c>
      <c r="B5" s="89"/>
      <c r="C5" s="89"/>
      <c r="D5" s="95"/>
      <c r="E5" s="96"/>
      <c r="F5" s="96"/>
      <c r="G5" s="96"/>
      <c r="H5" s="97"/>
      <c r="I5" s="97"/>
      <c r="J5" s="98"/>
    </row>
    <row r="6" spans="1:14" s="8" customFormat="1" ht="17.25" customHeight="1" x14ac:dyDescent="0.15">
      <c r="A6" s="89"/>
      <c r="B6" s="89"/>
      <c r="C6" s="89"/>
      <c r="D6" s="95" t="s">
        <v>58</v>
      </c>
      <c r="E6" s="96"/>
      <c r="F6" s="96"/>
      <c r="G6" s="96"/>
      <c r="H6" s="97">
        <v>46157</v>
      </c>
      <c r="I6" s="97"/>
      <c r="J6" s="98"/>
      <c r="L6" s="81"/>
      <c r="M6" s="81"/>
      <c r="N6" s="81"/>
    </row>
    <row r="7" spans="1:14" s="8" customFormat="1" ht="17" x14ac:dyDescent="0.15">
      <c r="D7" s="82"/>
      <c r="E7" s="83"/>
      <c r="F7" s="83"/>
      <c r="G7" s="83"/>
      <c r="H7" s="83"/>
      <c r="I7" s="83"/>
      <c r="J7" s="84"/>
      <c r="L7" s="81"/>
      <c r="M7" s="81"/>
      <c r="N7" s="81"/>
    </row>
    <row r="8" spans="1:14" s="8" customFormat="1" ht="18" x14ac:dyDescent="0.15">
      <c r="A8" s="85" t="s">
        <v>0</v>
      </c>
      <c r="B8" s="85"/>
      <c r="D8" s="86" t="s">
        <v>42</v>
      </c>
      <c r="E8" s="87"/>
      <c r="F8" s="87"/>
      <c r="G8" s="87"/>
      <c r="H8" s="87"/>
      <c r="I8" s="87"/>
      <c r="J8" s="88"/>
    </row>
    <row r="9" spans="1:14" s="8" customFormat="1" ht="12.75" customHeight="1" x14ac:dyDescent="0.15">
      <c r="A9" s="7" t="s">
        <v>1</v>
      </c>
      <c r="B9" s="47" t="s">
        <v>56</v>
      </c>
      <c r="C9" s="47"/>
      <c r="D9" s="82" t="s">
        <v>43</v>
      </c>
      <c r="E9" s="83"/>
      <c r="F9" s="83"/>
      <c r="G9" s="83"/>
      <c r="H9" s="83"/>
      <c r="I9" s="83"/>
      <c r="J9" s="84"/>
    </row>
    <row r="10" spans="1:14" s="8" customFormat="1" ht="12.75" customHeight="1" x14ac:dyDescent="0.15">
      <c r="A10" s="7" t="s">
        <v>2</v>
      </c>
      <c r="B10" s="47">
        <v>93830600283</v>
      </c>
      <c r="C10" s="47"/>
      <c r="D10" s="82" t="s">
        <v>11</v>
      </c>
      <c r="E10" s="83"/>
      <c r="F10" s="83"/>
      <c r="G10" s="83"/>
      <c r="H10" s="83"/>
      <c r="I10" s="83"/>
      <c r="J10" s="84"/>
    </row>
    <row r="11" spans="1:14" s="8" customFormat="1" ht="12.75" customHeight="1" x14ac:dyDescent="0.15">
      <c r="A11" s="7" t="s">
        <v>3</v>
      </c>
      <c r="B11" s="49">
        <v>84089988400026</v>
      </c>
      <c r="C11" s="47"/>
      <c r="D11" s="36"/>
      <c r="J11" s="37"/>
    </row>
    <row r="12" spans="1:14" s="8" customFormat="1" ht="12.75" customHeight="1" x14ac:dyDescent="0.15">
      <c r="A12" s="7" t="s">
        <v>4</v>
      </c>
      <c r="B12" s="89" t="s">
        <v>55</v>
      </c>
      <c r="C12" s="89"/>
      <c r="D12" s="38" t="s">
        <v>24</v>
      </c>
      <c r="E12" s="10"/>
      <c r="F12" s="10"/>
      <c r="G12" s="11"/>
      <c r="H12" s="11"/>
      <c r="J12" s="37"/>
    </row>
    <row r="13" spans="1:14" s="8" customFormat="1" ht="15.75" customHeight="1" x14ac:dyDescent="0.15">
      <c r="B13" s="90"/>
      <c r="C13" s="90"/>
      <c r="D13" s="36" t="s">
        <v>19</v>
      </c>
      <c r="G13" s="12"/>
      <c r="H13" s="91">
        <v>51190</v>
      </c>
      <c r="I13" s="91"/>
      <c r="J13" s="92"/>
    </row>
    <row r="14" spans="1:14" ht="3" customHeight="1" x14ac:dyDescent="0.25">
      <c r="D14" s="93"/>
      <c r="E14" s="51"/>
      <c r="F14" s="51"/>
      <c r="G14" s="51"/>
      <c r="H14" s="51"/>
      <c r="I14" s="51"/>
      <c r="J14" s="94"/>
    </row>
    <row r="15" spans="1:14" x14ac:dyDescent="0.25">
      <c r="A15" s="85" t="s">
        <v>5</v>
      </c>
      <c r="B15" s="85"/>
      <c r="C15" s="13"/>
      <c r="D15" s="39"/>
      <c r="I15" s="14"/>
      <c r="J15" s="40"/>
      <c r="K15" s="14"/>
    </row>
    <row r="16" spans="1:14" s="8" customFormat="1" ht="12.75" customHeight="1" x14ac:dyDescent="0.2">
      <c r="A16" s="7" t="s">
        <v>6</v>
      </c>
      <c r="B16" s="47" t="s">
        <v>59</v>
      </c>
      <c r="D16" s="38" t="s">
        <v>22</v>
      </c>
      <c r="E16" s="10"/>
      <c r="F16" s="10"/>
      <c r="G16" s="8" t="s">
        <v>50</v>
      </c>
      <c r="H16" s="14"/>
      <c r="J16" s="37"/>
    </row>
    <row r="17" spans="1:10" s="8" customFormat="1" ht="12.75" customHeight="1" x14ac:dyDescent="0.15">
      <c r="A17" s="7" t="s">
        <v>7</v>
      </c>
      <c r="B17" s="47">
        <v>16958</v>
      </c>
      <c r="D17" s="36"/>
      <c r="G17" s="80" t="s">
        <v>51</v>
      </c>
      <c r="H17" s="80"/>
      <c r="I17" s="80"/>
      <c r="J17" s="37"/>
    </row>
    <row r="18" spans="1:10" s="8" customFormat="1" ht="12.75" customHeight="1" x14ac:dyDescent="0.15">
      <c r="A18" s="7" t="s">
        <v>8</v>
      </c>
      <c r="B18" s="48" t="s">
        <v>62</v>
      </c>
      <c r="D18" s="36"/>
      <c r="G18" s="80"/>
      <c r="H18" s="80"/>
      <c r="I18" s="80"/>
      <c r="J18" s="37"/>
    </row>
    <row r="19" spans="1:10" s="8" customFormat="1" ht="12.75" customHeight="1" x14ac:dyDescent="0.15">
      <c r="A19" s="7" t="s">
        <v>9</v>
      </c>
      <c r="B19" s="47">
        <v>23326192434</v>
      </c>
      <c r="D19" s="36"/>
      <c r="J19" s="37"/>
    </row>
    <row r="20" spans="1:10" s="8" customFormat="1" ht="12.75" customHeight="1" x14ac:dyDescent="0.15">
      <c r="A20" s="7" t="s">
        <v>10</v>
      </c>
      <c r="B20" s="47">
        <v>45</v>
      </c>
      <c r="D20" s="44"/>
      <c r="E20" s="45"/>
      <c r="F20" s="45"/>
      <c r="G20" s="45"/>
      <c r="H20" s="45"/>
      <c r="I20" s="45"/>
      <c r="J20" s="46"/>
    </row>
    <row r="21" spans="1:10" ht="10.5" customHeight="1" x14ac:dyDescent="0.25">
      <c r="D21" s="51"/>
      <c r="E21" s="51"/>
      <c r="F21" s="51"/>
      <c r="G21" s="51"/>
      <c r="H21" s="51"/>
      <c r="I21" s="51"/>
      <c r="J21" s="51"/>
    </row>
    <row r="22" spans="1:10" s="8" customFormat="1" ht="21.75" customHeight="1" x14ac:dyDescent="0.15">
      <c r="A22" s="73" t="s">
        <v>34</v>
      </c>
      <c r="B22" s="73"/>
      <c r="C22" s="20" t="s">
        <v>29</v>
      </c>
      <c r="D22" s="74">
        <v>46126</v>
      </c>
      <c r="E22" s="75"/>
      <c r="F22" s="21" t="s">
        <v>30</v>
      </c>
      <c r="G22" s="74">
        <v>46136</v>
      </c>
      <c r="H22" s="75"/>
      <c r="I22" s="76" t="s">
        <v>28</v>
      </c>
      <c r="J22" s="76"/>
    </row>
    <row r="23" spans="1:10" s="8" customFormat="1" ht="3.75" customHeight="1" x14ac:dyDescent="0.15">
      <c r="A23" s="31"/>
      <c r="B23" s="31"/>
      <c r="C23" s="20"/>
      <c r="D23" s="20"/>
      <c r="E23" s="20"/>
      <c r="F23" s="20"/>
      <c r="G23" s="21"/>
      <c r="H23" s="20"/>
      <c r="I23" s="31"/>
      <c r="J23" s="31"/>
    </row>
    <row r="24" spans="1:10" s="8" customFormat="1" ht="21.75" customHeight="1" x14ac:dyDescent="0.15">
      <c r="A24" s="77" t="s">
        <v>35</v>
      </c>
      <c r="B24" s="77"/>
      <c r="C24" s="77"/>
      <c r="D24" s="75" t="s">
        <v>65</v>
      </c>
      <c r="E24" s="75"/>
      <c r="F24" s="75"/>
      <c r="G24" s="21"/>
      <c r="H24" s="20"/>
      <c r="I24" s="31"/>
      <c r="J24" s="31"/>
    </row>
    <row r="25" spans="1:10" ht="3" customHeight="1" x14ac:dyDescent="0.25">
      <c r="D25" s="51"/>
      <c r="E25" s="51"/>
      <c r="F25" s="51"/>
      <c r="G25" s="51"/>
      <c r="H25" s="51"/>
      <c r="I25" s="51"/>
      <c r="J25" s="51"/>
    </row>
    <row r="26" spans="1:10" s="1" customFormat="1" ht="21.75" customHeight="1" x14ac:dyDescent="0.2">
      <c r="A26" s="3" t="s">
        <v>12</v>
      </c>
      <c r="B26" s="78" t="s">
        <v>60</v>
      </c>
      <c r="C26" s="78"/>
      <c r="D26" s="78"/>
      <c r="E26" s="78"/>
      <c r="F26" s="78"/>
      <c r="G26" s="78"/>
      <c r="H26" s="78"/>
      <c r="I26" s="78"/>
      <c r="J26" s="78"/>
    </row>
    <row r="27" spans="1:10" ht="3" customHeight="1" x14ac:dyDescent="0.25">
      <c r="D27" s="51"/>
      <c r="E27" s="51"/>
      <c r="F27" s="51"/>
      <c r="G27" s="51"/>
      <c r="H27" s="51"/>
      <c r="I27" s="51"/>
      <c r="J27" s="51"/>
    </row>
    <row r="28" spans="1:10" s="1" customFormat="1" ht="21.75" customHeight="1" x14ac:dyDescent="0.2">
      <c r="A28" s="4" t="s">
        <v>13</v>
      </c>
      <c r="B28" s="6">
        <v>46113</v>
      </c>
      <c r="C28" s="4" t="s">
        <v>14</v>
      </c>
      <c r="D28" s="6">
        <v>46199</v>
      </c>
      <c r="E28" s="6"/>
      <c r="F28" s="6"/>
      <c r="G28" s="5"/>
      <c r="H28" s="79"/>
      <c r="I28" s="79"/>
      <c r="J28" s="79"/>
    </row>
    <row r="29" spans="1:10" ht="3" customHeight="1" x14ac:dyDescent="0.25">
      <c r="D29" s="51"/>
      <c r="E29" s="51"/>
      <c r="F29" s="51"/>
      <c r="G29" s="51"/>
      <c r="H29" s="51"/>
      <c r="I29" s="51"/>
      <c r="J29" s="51"/>
    </row>
    <row r="30" spans="1:10" s="1" customFormat="1" ht="21.75" customHeight="1" x14ac:dyDescent="0.2">
      <c r="A30" s="4" t="s">
        <v>15</v>
      </c>
      <c r="B30" s="72" t="s">
        <v>57</v>
      </c>
      <c r="C30" s="72"/>
      <c r="D30" s="72"/>
      <c r="E30" s="72"/>
      <c r="F30" s="72"/>
      <c r="G30" s="72"/>
      <c r="H30" s="72"/>
      <c r="I30" s="72"/>
      <c r="J30" s="72"/>
    </row>
    <row r="31" spans="1:10" ht="3" customHeight="1" x14ac:dyDescent="0.25">
      <c r="D31" s="51"/>
      <c r="E31" s="51"/>
      <c r="F31" s="51"/>
      <c r="G31" s="51"/>
      <c r="H31" s="51"/>
      <c r="I31" s="51"/>
      <c r="J31" s="51"/>
    </row>
    <row r="32" spans="1:10" ht="53.25" customHeight="1" x14ac:dyDescent="0.25">
      <c r="A32" s="32" t="s">
        <v>36</v>
      </c>
      <c r="B32" s="35"/>
      <c r="C32" s="22" t="s">
        <v>31</v>
      </c>
      <c r="D32" s="22" t="s">
        <v>37</v>
      </c>
      <c r="E32" s="22" t="s">
        <v>32</v>
      </c>
      <c r="F32" s="22" t="s">
        <v>16</v>
      </c>
      <c r="G32" s="16" t="s">
        <v>17</v>
      </c>
      <c r="H32" s="28" t="s">
        <v>18</v>
      </c>
      <c r="I32" s="71" t="s">
        <v>20</v>
      </c>
      <c r="J32" s="71"/>
    </row>
    <row r="33" spans="1:14" ht="43.5" customHeight="1" x14ac:dyDescent="0.25">
      <c r="A33" s="68" t="s">
        <v>45</v>
      </c>
      <c r="B33" s="69"/>
      <c r="C33" s="17">
        <v>636</v>
      </c>
      <c r="D33" s="23">
        <v>0</v>
      </c>
      <c r="E33" s="25">
        <v>0</v>
      </c>
      <c r="F33" s="23">
        <v>0</v>
      </c>
      <c r="G33" s="17">
        <f>C33+F33</f>
        <v>636</v>
      </c>
      <c r="H33" s="29">
        <v>12.1</v>
      </c>
      <c r="I33" s="70">
        <f>(G33)*H33</f>
        <v>7695.5999999999995</v>
      </c>
      <c r="J33" s="70"/>
      <c r="N33" s="2" t="s">
        <v>45</v>
      </c>
    </row>
    <row r="34" spans="1:14" ht="43.25" customHeight="1" x14ac:dyDescent="0.25">
      <c r="A34" s="68" t="s">
        <v>49</v>
      </c>
      <c r="B34" s="69"/>
      <c r="C34" s="17">
        <v>120</v>
      </c>
      <c r="D34" s="23">
        <v>0</v>
      </c>
      <c r="E34" s="25">
        <v>0</v>
      </c>
      <c r="F34" s="23">
        <v>0</v>
      </c>
      <c r="G34" s="17">
        <f>C34+F34</f>
        <v>120</v>
      </c>
      <c r="H34" s="29">
        <v>12.1</v>
      </c>
      <c r="I34" s="70">
        <f t="shared" ref="I34:I37" si="0">(G34)*H34</f>
        <v>1452</v>
      </c>
      <c r="J34" s="70"/>
      <c r="N34" s="2" t="s">
        <v>49</v>
      </c>
    </row>
    <row r="35" spans="1:14" ht="43.5" customHeight="1" x14ac:dyDescent="0.25">
      <c r="A35" s="68"/>
      <c r="B35" s="69"/>
      <c r="C35" s="17"/>
      <c r="D35" s="23"/>
      <c r="E35" s="25"/>
      <c r="F35" s="23"/>
      <c r="G35" s="17">
        <f t="shared" ref="G35:G36" si="1">C35+F35</f>
        <v>0</v>
      </c>
      <c r="H35" s="29"/>
      <c r="I35" s="70">
        <f t="shared" si="0"/>
        <v>0</v>
      </c>
      <c r="J35" s="70"/>
      <c r="N35" s="2" t="s">
        <v>46</v>
      </c>
    </row>
    <row r="36" spans="1:14" ht="43.5" customHeight="1" x14ac:dyDescent="0.25">
      <c r="A36" s="68"/>
      <c r="B36" s="69"/>
      <c r="C36" s="17"/>
      <c r="D36" s="23"/>
      <c r="E36" s="25"/>
      <c r="F36" s="23"/>
      <c r="G36" s="17">
        <f t="shared" si="1"/>
        <v>0</v>
      </c>
      <c r="H36" s="29"/>
      <c r="I36" s="70">
        <f t="shared" si="0"/>
        <v>0</v>
      </c>
      <c r="J36" s="70"/>
      <c r="N36" s="2" t="s">
        <v>48</v>
      </c>
    </row>
    <row r="37" spans="1:14" ht="43.5" customHeight="1" x14ac:dyDescent="0.25">
      <c r="A37" s="68"/>
      <c r="B37" s="69"/>
      <c r="C37" s="17"/>
      <c r="D37" s="23"/>
      <c r="E37" s="25"/>
      <c r="F37" s="23"/>
      <c r="G37" s="17">
        <f>C37+F37</f>
        <v>0</v>
      </c>
      <c r="H37" s="29"/>
      <c r="I37" s="70">
        <f t="shared" si="0"/>
        <v>0</v>
      </c>
      <c r="J37" s="70"/>
      <c r="N37" s="2" t="s">
        <v>47</v>
      </c>
    </row>
    <row r="38" spans="1:14" ht="43.5" customHeight="1" x14ac:dyDescent="0.25">
      <c r="A38" s="59"/>
      <c r="B38" s="60"/>
      <c r="C38" s="18" t="s">
        <v>21</v>
      </c>
      <c r="D38" s="24">
        <f>SUM(D33:D37)</f>
        <v>0</v>
      </c>
      <c r="E38" s="24">
        <f>SUM(E33:E37)</f>
        <v>0</v>
      </c>
      <c r="F38" s="24">
        <f>SUM(F33:F37)</f>
        <v>0</v>
      </c>
      <c r="G38" s="19">
        <f>SUM(G33:G37)</f>
        <v>756</v>
      </c>
      <c r="H38" s="30">
        <v>12.1</v>
      </c>
      <c r="I38" s="61">
        <f>SUM(I33:J37)</f>
        <v>9147.5999999999985</v>
      </c>
      <c r="J38" s="61"/>
      <c r="L38" s="33" t="s">
        <v>39</v>
      </c>
      <c r="M38" s="34" t="e">
        <f>I33+#REF!+#REF!+I37</f>
        <v>#REF!</v>
      </c>
    </row>
    <row r="39" spans="1:14" ht="12.75" customHeight="1" x14ac:dyDescent="0.25">
      <c r="A39" s="62"/>
      <c r="B39" s="62"/>
      <c r="C39" s="62"/>
      <c r="D39" s="62"/>
      <c r="E39" s="62"/>
      <c r="F39" s="62"/>
      <c r="G39" s="62"/>
      <c r="H39" s="62"/>
      <c r="I39" s="62"/>
      <c r="J39" s="62"/>
    </row>
    <row r="40" spans="1:14" ht="3" customHeight="1" x14ac:dyDescent="0.25">
      <c r="D40" s="51"/>
      <c r="E40" s="51"/>
      <c r="F40" s="51"/>
      <c r="G40" s="51"/>
      <c r="H40" s="51"/>
      <c r="I40" s="51"/>
      <c r="J40" s="51"/>
      <c r="N40" s="33" t="s">
        <v>38</v>
      </c>
    </row>
    <row r="41" spans="1:14" ht="7.5" customHeight="1" x14ac:dyDescent="0.25">
      <c r="A41" s="26"/>
      <c r="B41" s="26"/>
      <c r="C41" s="27"/>
      <c r="D41" s="27"/>
      <c r="E41" s="27"/>
      <c r="F41" s="27"/>
      <c r="G41" s="27"/>
      <c r="H41" s="27"/>
      <c r="I41" s="27"/>
      <c r="J41" s="27"/>
    </row>
    <row r="42" spans="1:14" ht="31.5" customHeight="1" x14ac:dyDescent="0.25">
      <c r="A42" s="63" t="s">
        <v>27</v>
      </c>
      <c r="B42" s="63"/>
      <c r="C42" s="64">
        <f>I38</f>
        <v>9147.5999999999985</v>
      </c>
      <c r="D42" s="65"/>
      <c r="E42" s="66"/>
      <c r="F42" s="67" t="s">
        <v>69</v>
      </c>
      <c r="G42" s="67"/>
      <c r="H42" s="67"/>
      <c r="I42" s="67"/>
      <c r="J42" s="67"/>
    </row>
    <row r="43" spans="1:14" ht="3" customHeight="1" x14ac:dyDescent="0.25">
      <c r="D43" s="51"/>
      <c r="E43" s="51"/>
      <c r="F43" s="51"/>
      <c r="G43" s="51"/>
      <c r="H43" s="51"/>
      <c r="I43" s="51"/>
      <c r="J43" s="51"/>
    </row>
    <row r="44" spans="1:14" ht="25.5" customHeight="1" x14ac:dyDescent="0.25">
      <c r="A44" s="52" t="s">
        <v>44</v>
      </c>
      <c r="B44" s="53"/>
      <c r="C44" s="53"/>
      <c r="D44" s="53"/>
      <c r="E44" s="53"/>
      <c r="F44" s="53"/>
      <c r="G44" s="53"/>
      <c r="H44" s="53"/>
      <c r="I44" s="53"/>
      <c r="J44" s="54"/>
      <c r="K44" s="9"/>
      <c r="L44" s="9"/>
      <c r="M44" s="9"/>
      <c r="N44" s="9"/>
    </row>
    <row r="45" spans="1:14" s="1" customFormat="1" ht="24.75" customHeight="1" x14ac:dyDescent="0.2">
      <c r="A45" s="55" t="s">
        <v>25</v>
      </c>
      <c r="B45" s="56"/>
      <c r="C45" s="56"/>
      <c r="D45" s="56"/>
      <c r="E45" s="56"/>
      <c r="F45" s="56"/>
      <c r="G45" s="56"/>
      <c r="H45" s="56"/>
      <c r="I45" s="56"/>
      <c r="J45" s="56"/>
    </row>
    <row r="46" spans="1:14" ht="3" customHeight="1" x14ac:dyDescent="0.25">
      <c r="D46" s="51"/>
      <c r="E46" s="51"/>
      <c r="F46" s="51"/>
      <c r="G46" s="51"/>
      <c r="H46" s="51"/>
      <c r="I46" s="51"/>
      <c r="J46" s="51"/>
    </row>
    <row r="47" spans="1:14" s="8" customFormat="1" ht="27.75" customHeight="1" x14ac:dyDescent="0.15">
      <c r="A47" s="57" t="s">
        <v>26</v>
      </c>
      <c r="B47" s="57"/>
      <c r="C47" s="58" t="s">
        <v>33</v>
      </c>
      <c r="D47" s="58"/>
      <c r="E47" s="58"/>
      <c r="F47" s="58"/>
      <c r="G47" s="58"/>
      <c r="H47" s="58"/>
      <c r="I47" s="58"/>
      <c r="J47" s="58"/>
    </row>
    <row r="48" spans="1:14" ht="27.75" customHeight="1" x14ac:dyDescent="0.25">
      <c r="A48" s="57"/>
      <c r="B48" s="57"/>
      <c r="C48" s="58"/>
      <c r="D48" s="58"/>
      <c r="E48" s="58"/>
      <c r="F48" s="58"/>
      <c r="G48" s="58"/>
      <c r="H48" s="58"/>
      <c r="I48" s="58"/>
      <c r="J48" s="58"/>
    </row>
    <row r="49" spans="1:10" ht="27.75" customHeight="1" x14ac:dyDescent="0.25">
      <c r="A49" s="57"/>
      <c r="B49" s="57"/>
      <c r="C49" s="58"/>
      <c r="D49" s="58"/>
      <c r="E49" s="58"/>
      <c r="F49" s="58"/>
      <c r="G49" s="58"/>
      <c r="H49" s="58"/>
      <c r="I49" s="58"/>
      <c r="J49" s="58"/>
    </row>
    <row r="50" spans="1:10" ht="13.5" customHeight="1" x14ac:dyDescent="0.25">
      <c r="B50" s="15"/>
      <c r="C50" s="15"/>
      <c r="D50" s="15" t="s">
        <v>61</v>
      </c>
      <c r="E50" s="15"/>
      <c r="F50" s="15"/>
      <c r="G50" s="50"/>
      <c r="H50" s="50"/>
      <c r="I50" s="50"/>
      <c r="J50" s="50"/>
    </row>
    <row r="51" spans="1:10" x14ac:dyDescent="0.25">
      <c r="A51" s="1"/>
      <c r="B51" s="1"/>
      <c r="C51" s="1"/>
      <c r="D51" s="1"/>
      <c r="E51" s="1"/>
      <c r="F51" s="1"/>
      <c r="G51" s="1"/>
      <c r="H51" s="1"/>
      <c r="I51" s="1"/>
    </row>
    <row r="52" spans="1:10" x14ac:dyDescent="0.25">
      <c r="A52" s="1"/>
      <c r="B52" s="1"/>
      <c r="C52" s="1"/>
      <c r="D52" s="1"/>
      <c r="E52" s="1"/>
      <c r="F52" s="1"/>
      <c r="G52" s="1"/>
      <c r="H52" s="1"/>
      <c r="I52" s="1"/>
    </row>
    <row r="53" spans="1:10" x14ac:dyDescent="0.25">
      <c r="A53" s="1"/>
      <c r="B53" s="1"/>
      <c r="C53" s="1"/>
      <c r="D53" s="1"/>
      <c r="E53" s="1"/>
      <c r="F53" s="1"/>
      <c r="G53" s="1"/>
      <c r="H53" s="1"/>
      <c r="I53" s="1"/>
    </row>
    <row r="54" spans="1:10" x14ac:dyDescent="0.25">
      <c r="A54" s="1"/>
      <c r="B54" s="1"/>
      <c r="C54" s="1"/>
      <c r="D54" s="1"/>
      <c r="E54" s="1"/>
      <c r="F54" s="1"/>
      <c r="G54" s="1"/>
      <c r="H54" s="1"/>
      <c r="I54" s="1"/>
    </row>
    <row r="55" spans="1:10" x14ac:dyDescent="0.25">
      <c r="A55" s="1"/>
      <c r="B55" s="1"/>
      <c r="C55" s="1"/>
      <c r="D55" s="1"/>
      <c r="E55" s="1"/>
      <c r="F55" s="1"/>
      <c r="G55" s="1"/>
      <c r="H55" s="1"/>
      <c r="I55" s="1"/>
    </row>
    <row r="56" spans="1:10" x14ac:dyDescent="0.25">
      <c r="A56" s="1"/>
      <c r="B56" s="1"/>
      <c r="C56" s="1"/>
      <c r="D56" s="1"/>
      <c r="E56" s="1"/>
      <c r="F56" s="1"/>
      <c r="G56" s="1"/>
      <c r="H56" s="1"/>
      <c r="I56" s="1"/>
    </row>
    <row r="57" spans="1:10" x14ac:dyDescent="0.25">
      <c r="A57" s="1"/>
      <c r="B57" s="1"/>
      <c r="C57" s="1"/>
      <c r="D57" s="1"/>
      <c r="E57" s="1"/>
      <c r="F57" s="1"/>
      <c r="G57" s="1"/>
      <c r="H57" s="1"/>
      <c r="I57" s="1"/>
    </row>
    <row r="58" spans="1:10" x14ac:dyDescent="0.25">
      <c r="A58" s="1"/>
      <c r="B58" s="1"/>
      <c r="C58" s="1"/>
      <c r="D58" s="1"/>
      <c r="E58" s="1"/>
      <c r="F58" s="1"/>
      <c r="G58" s="1"/>
      <c r="H58" s="1"/>
      <c r="I58" s="1"/>
    </row>
    <row r="59" spans="1:10" x14ac:dyDescent="0.25">
      <c r="A59" s="1"/>
      <c r="B59" s="1"/>
      <c r="C59" s="1"/>
      <c r="D59" s="1"/>
      <c r="E59" s="1"/>
      <c r="F59" s="1"/>
      <c r="G59" s="1"/>
      <c r="H59" s="1"/>
      <c r="I59" s="1"/>
    </row>
    <row r="60" spans="1:10" x14ac:dyDescent="0.25">
      <c r="A60" s="1"/>
      <c r="B60" s="1"/>
      <c r="C60" s="1"/>
      <c r="D60" s="1"/>
      <c r="E60" s="1"/>
      <c r="F60" s="1"/>
      <c r="G60" s="1"/>
      <c r="H60" s="1"/>
      <c r="I60" s="1"/>
    </row>
    <row r="61" spans="1:10" x14ac:dyDescent="0.25">
      <c r="A61" s="1"/>
      <c r="B61" s="1"/>
      <c r="C61" s="1"/>
      <c r="D61" s="1"/>
      <c r="E61" s="1"/>
      <c r="F61" s="1"/>
      <c r="G61" s="1"/>
      <c r="H61" s="1"/>
      <c r="I61" s="1"/>
    </row>
    <row r="62" spans="1:10" x14ac:dyDescent="0.25">
      <c r="A62" s="1"/>
      <c r="B62" s="1"/>
      <c r="C62" s="1"/>
      <c r="D62" s="1"/>
      <c r="E62" s="1"/>
      <c r="F62" s="1"/>
      <c r="G62" s="1"/>
      <c r="H62" s="1"/>
      <c r="I62" s="1"/>
    </row>
    <row r="63" spans="1:10" x14ac:dyDescent="0.25">
      <c r="A63" s="1"/>
      <c r="B63" s="1"/>
      <c r="C63" s="1"/>
      <c r="D63" s="1"/>
      <c r="E63" s="1"/>
      <c r="F63" s="1"/>
      <c r="G63" s="1"/>
      <c r="H63" s="1"/>
      <c r="I63" s="1"/>
    </row>
    <row r="64" spans="1:10" x14ac:dyDescent="0.25">
      <c r="A64" s="1"/>
      <c r="B64" s="1"/>
      <c r="C64" s="1"/>
      <c r="D64" s="1"/>
      <c r="E64" s="1"/>
      <c r="F64" s="1"/>
      <c r="G64" s="1"/>
      <c r="H64" s="1"/>
      <c r="I64" s="1"/>
    </row>
    <row r="65" spans="1:9" x14ac:dyDescent="0.25">
      <c r="A65" s="1"/>
      <c r="B65" s="1"/>
      <c r="C65" s="1"/>
      <c r="D65" s="1"/>
      <c r="E65" s="1"/>
      <c r="F65" s="1"/>
      <c r="G65" s="1"/>
      <c r="H65" s="1"/>
      <c r="I65" s="1"/>
    </row>
    <row r="66" spans="1:9" x14ac:dyDescent="0.25">
      <c r="A66" s="1"/>
      <c r="B66" s="1"/>
      <c r="C66" s="1"/>
      <c r="D66" s="1"/>
      <c r="E66" s="1"/>
      <c r="F66" s="1"/>
      <c r="G66" s="1"/>
      <c r="H66" s="1"/>
      <c r="I66" s="1"/>
    </row>
    <row r="67" spans="1:9" x14ac:dyDescent="0.25">
      <c r="A67" s="1"/>
      <c r="B67" s="1"/>
      <c r="C67" s="1"/>
      <c r="D67" s="1"/>
      <c r="E67" s="1"/>
      <c r="F67" s="1"/>
      <c r="G67" s="1"/>
      <c r="H67" s="1"/>
      <c r="I67" s="1"/>
    </row>
    <row r="68" spans="1:9" x14ac:dyDescent="0.25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25">
      <c r="A69" s="1"/>
      <c r="B69" s="1"/>
      <c r="C69" s="1"/>
      <c r="D69" s="1"/>
      <c r="E69" s="1"/>
      <c r="F69" s="1"/>
      <c r="G69" s="1"/>
      <c r="H69" s="1"/>
      <c r="I69" s="1"/>
    </row>
    <row r="70" spans="1:9" x14ac:dyDescent="0.25">
      <c r="A70" s="1"/>
      <c r="B70" s="1"/>
      <c r="C70" s="1"/>
      <c r="D70" s="1"/>
      <c r="E70" s="1"/>
      <c r="F70" s="1"/>
      <c r="G70" s="1"/>
      <c r="H70" s="1"/>
      <c r="I70" s="1"/>
    </row>
    <row r="71" spans="1:9" x14ac:dyDescent="0.25">
      <c r="A71" s="1"/>
      <c r="B71" s="1"/>
      <c r="C71" s="1"/>
      <c r="D71" s="1"/>
      <c r="E71" s="1"/>
      <c r="F71" s="1"/>
      <c r="G71" s="1"/>
      <c r="H71" s="1"/>
      <c r="I71" s="1"/>
    </row>
  </sheetData>
  <mergeCells count="64">
    <mergeCell ref="G50:J50"/>
    <mergeCell ref="D43:J43"/>
    <mergeCell ref="A44:J44"/>
    <mergeCell ref="A45:J45"/>
    <mergeCell ref="D46:J46"/>
    <mergeCell ref="A47:B49"/>
    <mergeCell ref="C47:J49"/>
    <mergeCell ref="A38:B38"/>
    <mergeCell ref="I38:J38"/>
    <mergeCell ref="A39:J39"/>
    <mergeCell ref="D40:J40"/>
    <mergeCell ref="A42:B42"/>
    <mergeCell ref="C42:E42"/>
    <mergeCell ref="F42:J42"/>
    <mergeCell ref="A35:B35"/>
    <mergeCell ref="I35:J35"/>
    <mergeCell ref="A36:B36"/>
    <mergeCell ref="I36:J36"/>
    <mergeCell ref="A37:B37"/>
    <mergeCell ref="I37:J37"/>
    <mergeCell ref="D31:J31"/>
    <mergeCell ref="I32:J32"/>
    <mergeCell ref="A33:B33"/>
    <mergeCell ref="I33:J33"/>
    <mergeCell ref="A34:B34"/>
    <mergeCell ref="I34:J34"/>
    <mergeCell ref="B30:J30"/>
    <mergeCell ref="D21:J21"/>
    <mergeCell ref="A22:B22"/>
    <mergeCell ref="D22:E22"/>
    <mergeCell ref="G22:H22"/>
    <mergeCell ref="I22:J22"/>
    <mergeCell ref="A24:C24"/>
    <mergeCell ref="D24:F24"/>
    <mergeCell ref="D25:J25"/>
    <mergeCell ref="B26:J26"/>
    <mergeCell ref="D27:J27"/>
    <mergeCell ref="H28:J28"/>
    <mergeCell ref="D29:J29"/>
    <mergeCell ref="G17:I18"/>
    <mergeCell ref="L6:N7"/>
    <mergeCell ref="D7:J7"/>
    <mergeCell ref="A8:B8"/>
    <mergeCell ref="D8:J8"/>
    <mergeCell ref="D9:J9"/>
    <mergeCell ref="D10:J10"/>
    <mergeCell ref="B12:C12"/>
    <mergeCell ref="B13:C13"/>
    <mergeCell ref="H13:J13"/>
    <mergeCell ref="D14:J14"/>
    <mergeCell ref="A15:B15"/>
    <mergeCell ref="A5:C5"/>
    <mergeCell ref="D5:G5"/>
    <mergeCell ref="H5:J5"/>
    <mergeCell ref="A6:C6"/>
    <mergeCell ref="D6:G6"/>
    <mergeCell ref="H6:J6"/>
    <mergeCell ref="A2:B2"/>
    <mergeCell ref="D2:G2"/>
    <mergeCell ref="H2:J2"/>
    <mergeCell ref="A3:C3"/>
    <mergeCell ref="A4:C4"/>
    <mergeCell ref="D4:G4"/>
    <mergeCell ref="H4:J4"/>
  </mergeCells>
  <dataValidations count="1">
    <dataValidation type="list" allowBlank="1" showInputMessage="1" showErrorMessage="1" sqref="A33:B37" xr:uid="{94A5C4E8-5DC3-4540-A7C3-57F055BF6959}">
      <formula1>$N$33:$N$38</formula1>
    </dataValidation>
  </dataValidations>
  <printOptions horizontalCentered="1"/>
  <pageMargins left="3.937007874015748E-2" right="3.937007874015748E-2" top="0" bottom="0" header="0.31496062992125984" footer="0.31496062992125984"/>
  <pageSetup paperSize="9" scale="85" fitToHeight="0" orientation="portrait" copies="3" r:id="rId1"/>
  <headerFooter alignWithMargins="0">
    <oddFooter>&amp;L&amp;"Arial Unicode MS,Normal"&amp;8&amp;F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3AB21-97C8-144B-A365-1CBE17A3FD13}">
  <sheetPr>
    <pageSetUpPr fitToPage="1"/>
  </sheetPr>
  <dimension ref="A1:N71"/>
  <sheetViews>
    <sheetView zoomScale="150" zoomScaleNormal="150" workbookViewId="0">
      <selection activeCell="H13" sqref="H13:J13"/>
    </sheetView>
  </sheetViews>
  <sheetFormatPr baseColWidth="10" defaultColWidth="11.5" defaultRowHeight="16" x14ac:dyDescent="0.25"/>
  <cols>
    <col min="1" max="1" width="15.5" style="2" customWidth="1"/>
    <col min="2" max="3" width="16.5" style="2" customWidth="1"/>
    <col min="4" max="5" width="10.83203125" style="2" customWidth="1"/>
    <col min="6" max="6" width="10.5" style="2" customWidth="1"/>
    <col min="7" max="7" width="10.33203125" style="2" customWidth="1"/>
    <col min="8" max="8" width="12.33203125" style="2" customWidth="1"/>
    <col min="9" max="9" width="9" style="2" customWidth="1"/>
    <col min="10" max="10" width="12.33203125" style="2" customWidth="1"/>
    <col min="11" max="13" width="11.5" style="2"/>
    <col min="14" max="14" width="35" style="2" bestFit="1" customWidth="1"/>
    <col min="15" max="16384" width="11.5" style="2"/>
  </cols>
  <sheetData>
    <row r="1" spans="1:14" ht="3.75" customHeight="1" x14ac:dyDescent="0.25">
      <c r="A1" s="9"/>
      <c r="B1" s="9"/>
      <c r="C1" s="9"/>
      <c r="D1" s="41"/>
      <c r="E1" s="42"/>
      <c r="F1" s="42"/>
      <c r="G1" s="42"/>
      <c r="H1" s="42"/>
      <c r="I1" s="42"/>
      <c r="J1" s="43"/>
    </row>
    <row r="2" spans="1:14" s="8" customFormat="1" ht="14.25" customHeight="1" x14ac:dyDescent="0.15">
      <c r="A2" s="99" t="s">
        <v>23</v>
      </c>
      <c r="B2" s="99"/>
      <c r="D2" s="100" t="s">
        <v>41</v>
      </c>
      <c r="E2" s="101"/>
      <c r="F2" s="101"/>
      <c r="G2" s="101"/>
      <c r="H2" s="91" t="s">
        <v>66</v>
      </c>
      <c r="I2" s="91"/>
      <c r="J2" s="92"/>
    </row>
    <row r="3" spans="1:14" s="8" customFormat="1" x14ac:dyDescent="0.15">
      <c r="A3" s="89" t="s">
        <v>52</v>
      </c>
      <c r="B3" s="89"/>
      <c r="C3" s="89"/>
      <c r="D3" s="36"/>
      <c r="J3" s="37"/>
    </row>
    <row r="4" spans="1:14" s="8" customFormat="1" ht="15.75" customHeight="1" x14ac:dyDescent="0.15">
      <c r="A4" s="89" t="s">
        <v>53</v>
      </c>
      <c r="B4" s="89"/>
      <c r="C4" s="89"/>
      <c r="D4" s="100" t="s">
        <v>40</v>
      </c>
      <c r="E4" s="101"/>
      <c r="F4" s="101"/>
      <c r="G4" s="101"/>
      <c r="H4" s="102">
        <v>20260293</v>
      </c>
      <c r="I4" s="102"/>
      <c r="J4" s="103"/>
      <c r="L4" s="10"/>
    </row>
    <row r="5" spans="1:14" s="8" customFormat="1" ht="18" x14ac:dyDescent="0.15">
      <c r="A5" s="89" t="s">
        <v>54</v>
      </c>
      <c r="B5" s="89"/>
      <c r="C5" s="89"/>
      <c r="D5" s="95"/>
      <c r="E5" s="96"/>
      <c r="F5" s="96"/>
      <c r="G5" s="96"/>
      <c r="H5" s="97"/>
      <c r="I5" s="97"/>
      <c r="J5" s="98"/>
    </row>
    <row r="6" spans="1:14" s="8" customFormat="1" ht="17.25" customHeight="1" x14ac:dyDescent="0.15">
      <c r="A6" s="89"/>
      <c r="B6" s="89"/>
      <c r="C6" s="89"/>
      <c r="D6" s="95" t="s">
        <v>58</v>
      </c>
      <c r="E6" s="96"/>
      <c r="F6" s="96"/>
      <c r="G6" s="96"/>
      <c r="H6" s="97">
        <v>46171</v>
      </c>
      <c r="I6" s="97"/>
      <c r="J6" s="98"/>
      <c r="L6" s="81"/>
      <c r="M6" s="81"/>
      <c r="N6" s="81"/>
    </row>
    <row r="7" spans="1:14" s="8" customFormat="1" ht="17" x14ac:dyDescent="0.15">
      <c r="D7" s="82"/>
      <c r="E7" s="83"/>
      <c r="F7" s="83"/>
      <c r="G7" s="83"/>
      <c r="H7" s="83"/>
      <c r="I7" s="83"/>
      <c r="J7" s="84"/>
      <c r="L7" s="81"/>
      <c r="M7" s="81"/>
      <c r="N7" s="81"/>
    </row>
    <row r="8" spans="1:14" s="8" customFormat="1" ht="18" x14ac:dyDescent="0.15">
      <c r="A8" s="85" t="s">
        <v>0</v>
      </c>
      <c r="B8" s="85"/>
      <c r="D8" s="86" t="s">
        <v>42</v>
      </c>
      <c r="E8" s="87"/>
      <c r="F8" s="87"/>
      <c r="G8" s="87"/>
      <c r="H8" s="87"/>
      <c r="I8" s="87"/>
      <c r="J8" s="88"/>
    </row>
    <row r="9" spans="1:14" s="8" customFormat="1" ht="12.75" customHeight="1" x14ac:dyDescent="0.15">
      <c r="A9" s="7" t="s">
        <v>1</v>
      </c>
      <c r="B9" s="47" t="s">
        <v>56</v>
      </c>
      <c r="C9" s="47"/>
      <c r="D9" s="82" t="s">
        <v>43</v>
      </c>
      <c r="E9" s="83"/>
      <c r="F9" s="83"/>
      <c r="G9" s="83"/>
      <c r="H9" s="83"/>
      <c r="I9" s="83"/>
      <c r="J9" s="84"/>
    </row>
    <row r="10" spans="1:14" s="8" customFormat="1" ht="12.75" customHeight="1" x14ac:dyDescent="0.15">
      <c r="A10" s="7" t="s">
        <v>2</v>
      </c>
      <c r="B10" s="47">
        <v>93830600283</v>
      </c>
      <c r="C10" s="47"/>
      <c r="D10" s="82" t="s">
        <v>11</v>
      </c>
      <c r="E10" s="83"/>
      <c r="F10" s="83"/>
      <c r="G10" s="83"/>
      <c r="H10" s="83"/>
      <c r="I10" s="83"/>
      <c r="J10" s="84"/>
    </row>
    <row r="11" spans="1:14" s="8" customFormat="1" ht="12.75" customHeight="1" x14ac:dyDescent="0.15">
      <c r="A11" s="7" t="s">
        <v>3</v>
      </c>
      <c r="B11" s="49">
        <v>84089988400026</v>
      </c>
      <c r="C11" s="47"/>
      <c r="D11" s="36"/>
      <c r="J11" s="37"/>
    </row>
    <row r="12" spans="1:14" s="8" customFormat="1" ht="12.75" customHeight="1" x14ac:dyDescent="0.15">
      <c r="A12" s="7" t="s">
        <v>4</v>
      </c>
      <c r="B12" s="89" t="s">
        <v>55</v>
      </c>
      <c r="C12" s="89"/>
      <c r="D12" s="38" t="s">
        <v>24</v>
      </c>
      <c r="E12" s="10"/>
      <c r="F12" s="10"/>
      <c r="G12" s="11"/>
      <c r="H12" s="11"/>
      <c r="J12" s="37"/>
    </row>
    <row r="13" spans="1:14" s="8" customFormat="1" ht="15.75" customHeight="1" x14ac:dyDescent="0.15">
      <c r="B13" s="90"/>
      <c r="C13" s="90"/>
      <c r="D13" s="36" t="s">
        <v>19</v>
      </c>
      <c r="G13" s="12"/>
      <c r="H13" s="91">
        <v>51190</v>
      </c>
      <c r="I13" s="91"/>
      <c r="J13" s="92"/>
    </row>
    <row r="14" spans="1:14" ht="3" customHeight="1" x14ac:dyDescent="0.25">
      <c r="D14" s="93"/>
      <c r="E14" s="51"/>
      <c r="F14" s="51"/>
      <c r="G14" s="51"/>
      <c r="H14" s="51"/>
      <c r="I14" s="51"/>
      <c r="J14" s="94"/>
    </row>
    <row r="15" spans="1:14" x14ac:dyDescent="0.25">
      <c r="A15" s="85" t="s">
        <v>5</v>
      </c>
      <c r="B15" s="85"/>
      <c r="C15" s="13"/>
      <c r="D15" s="39"/>
      <c r="I15" s="14"/>
      <c r="J15" s="40"/>
      <c r="K15" s="14"/>
    </row>
    <row r="16" spans="1:14" s="8" customFormat="1" ht="12.75" customHeight="1" x14ac:dyDescent="0.2">
      <c r="A16" s="7" t="s">
        <v>6</v>
      </c>
      <c r="B16" s="47" t="s">
        <v>59</v>
      </c>
      <c r="D16" s="38" t="s">
        <v>22</v>
      </c>
      <c r="E16" s="10"/>
      <c r="F16" s="10"/>
      <c r="G16" s="8" t="s">
        <v>50</v>
      </c>
      <c r="H16" s="14"/>
      <c r="J16" s="37"/>
    </row>
    <row r="17" spans="1:10" s="8" customFormat="1" ht="12.75" customHeight="1" x14ac:dyDescent="0.15">
      <c r="A17" s="7" t="s">
        <v>7</v>
      </c>
      <c r="B17" s="47">
        <v>16958</v>
      </c>
      <c r="D17" s="36"/>
      <c r="G17" s="80" t="s">
        <v>51</v>
      </c>
      <c r="H17" s="80"/>
      <c r="I17" s="80"/>
      <c r="J17" s="37"/>
    </row>
    <row r="18" spans="1:10" s="8" customFormat="1" ht="12.75" customHeight="1" x14ac:dyDescent="0.15">
      <c r="A18" s="7" t="s">
        <v>8</v>
      </c>
      <c r="B18" s="48" t="s">
        <v>62</v>
      </c>
      <c r="D18" s="36"/>
      <c r="G18" s="80"/>
      <c r="H18" s="80"/>
      <c r="I18" s="80"/>
      <c r="J18" s="37"/>
    </row>
    <row r="19" spans="1:10" s="8" customFormat="1" ht="12.75" customHeight="1" x14ac:dyDescent="0.15">
      <c r="A19" s="7" t="s">
        <v>9</v>
      </c>
      <c r="B19" s="47">
        <v>23326192434</v>
      </c>
      <c r="D19" s="36"/>
      <c r="J19" s="37"/>
    </row>
    <row r="20" spans="1:10" s="8" customFormat="1" ht="12.75" customHeight="1" x14ac:dyDescent="0.15">
      <c r="A20" s="7" t="s">
        <v>10</v>
      </c>
      <c r="B20" s="47">
        <v>45</v>
      </c>
      <c r="D20" s="44"/>
      <c r="E20" s="45"/>
      <c r="F20" s="45"/>
      <c r="G20" s="45"/>
      <c r="H20" s="45"/>
      <c r="I20" s="45"/>
      <c r="J20" s="46"/>
    </row>
    <row r="21" spans="1:10" ht="10.5" customHeight="1" x14ac:dyDescent="0.25">
      <c r="D21" s="51"/>
      <c r="E21" s="51"/>
      <c r="F21" s="51"/>
      <c r="G21" s="51"/>
      <c r="H21" s="51"/>
      <c r="I21" s="51"/>
      <c r="J21" s="51"/>
    </row>
    <row r="22" spans="1:10" s="8" customFormat="1" ht="21.75" customHeight="1" x14ac:dyDescent="0.15">
      <c r="A22" s="73" t="s">
        <v>34</v>
      </c>
      <c r="B22" s="73"/>
      <c r="C22" s="20" t="s">
        <v>29</v>
      </c>
      <c r="D22" s="74">
        <v>46161</v>
      </c>
      <c r="E22" s="75"/>
      <c r="F22" s="21" t="s">
        <v>30</v>
      </c>
      <c r="G22" s="74">
        <v>46171</v>
      </c>
      <c r="H22" s="75"/>
      <c r="I22" s="76" t="s">
        <v>28</v>
      </c>
      <c r="J22" s="76"/>
    </row>
    <row r="23" spans="1:10" s="8" customFormat="1" ht="3.75" customHeight="1" x14ac:dyDescent="0.15">
      <c r="A23" s="31"/>
      <c r="B23" s="31"/>
      <c r="C23" s="20"/>
      <c r="D23" s="20"/>
      <c r="E23" s="20"/>
      <c r="F23" s="20"/>
      <c r="G23" s="21"/>
      <c r="H23" s="20"/>
      <c r="I23" s="31"/>
      <c r="J23" s="31"/>
    </row>
    <row r="24" spans="1:10" s="8" customFormat="1" ht="21.75" customHeight="1" x14ac:dyDescent="0.15">
      <c r="A24" s="77" t="s">
        <v>35</v>
      </c>
      <c r="B24" s="77"/>
      <c r="C24" s="77"/>
      <c r="D24" s="75" t="s">
        <v>66</v>
      </c>
      <c r="E24" s="75"/>
      <c r="F24" s="75"/>
      <c r="G24" s="21"/>
      <c r="H24" s="20"/>
      <c r="I24" s="31"/>
      <c r="J24" s="31"/>
    </row>
    <row r="25" spans="1:10" ht="3" customHeight="1" x14ac:dyDescent="0.25">
      <c r="D25" s="51"/>
      <c r="E25" s="51"/>
      <c r="F25" s="51"/>
      <c r="G25" s="51"/>
      <c r="H25" s="51"/>
      <c r="I25" s="51"/>
      <c r="J25" s="51"/>
    </row>
    <row r="26" spans="1:10" s="1" customFormat="1" ht="21.75" customHeight="1" x14ac:dyDescent="0.2">
      <c r="A26" s="3" t="s">
        <v>12</v>
      </c>
      <c r="B26" s="78" t="s">
        <v>60</v>
      </c>
      <c r="C26" s="78"/>
      <c r="D26" s="78"/>
      <c r="E26" s="78"/>
      <c r="F26" s="78"/>
      <c r="G26" s="78"/>
      <c r="H26" s="78"/>
      <c r="I26" s="78"/>
      <c r="J26" s="78"/>
    </row>
    <row r="27" spans="1:10" ht="3" customHeight="1" x14ac:dyDescent="0.25">
      <c r="D27" s="51"/>
      <c r="E27" s="51"/>
      <c r="F27" s="51"/>
      <c r="G27" s="51"/>
      <c r="H27" s="51"/>
      <c r="I27" s="51"/>
      <c r="J27" s="51"/>
    </row>
    <row r="28" spans="1:10" s="1" customFormat="1" ht="21.75" customHeight="1" x14ac:dyDescent="0.2">
      <c r="A28" s="4" t="s">
        <v>13</v>
      </c>
      <c r="B28" s="6">
        <v>46113</v>
      </c>
      <c r="C28" s="4" t="s">
        <v>14</v>
      </c>
      <c r="D28" s="6">
        <v>46199</v>
      </c>
      <c r="E28" s="6"/>
      <c r="F28" s="6"/>
      <c r="G28" s="5"/>
      <c r="H28" s="79"/>
      <c r="I28" s="79"/>
      <c r="J28" s="79"/>
    </row>
    <row r="29" spans="1:10" ht="3" customHeight="1" x14ac:dyDescent="0.25">
      <c r="D29" s="51"/>
      <c r="E29" s="51"/>
      <c r="F29" s="51"/>
      <c r="G29" s="51"/>
      <c r="H29" s="51"/>
      <c r="I29" s="51"/>
      <c r="J29" s="51"/>
    </row>
    <row r="30" spans="1:10" s="1" customFormat="1" ht="21.75" customHeight="1" x14ac:dyDescent="0.2">
      <c r="A30" s="4" t="s">
        <v>15</v>
      </c>
      <c r="B30" s="72" t="s">
        <v>57</v>
      </c>
      <c r="C30" s="72"/>
      <c r="D30" s="72"/>
      <c r="E30" s="72"/>
      <c r="F30" s="72"/>
      <c r="G30" s="72"/>
      <c r="H30" s="72"/>
      <c r="I30" s="72"/>
      <c r="J30" s="72"/>
    </row>
    <row r="31" spans="1:10" ht="3" customHeight="1" x14ac:dyDescent="0.25">
      <c r="D31" s="51"/>
      <c r="E31" s="51"/>
      <c r="F31" s="51"/>
      <c r="G31" s="51"/>
      <c r="H31" s="51"/>
      <c r="I31" s="51"/>
      <c r="J31" s="51"/>
    </row>
    <row r="32" spans="1:10" ht="53.25" customHeight="1" x14ac:dyDescent="0.25">
      <c r="A32" s="32" t="s">
        <v>36</v>
      </c>
      <c r="B32" s="35"/>
      <c r="C32" s="22" t="s">
        <v>31</v>
      </c>
      <c r="D32" s="22" t="s">
        <v>37</v>
      </c>
      <c r="E32" s="22" t="s">
        <v>32</v>
      </c>
      <c r="F32" s="22" t="s">
        <v>16</v>
      </c>
      <c r="G32" s="16" t="s">
        <v>17</v>
      </c>
      <c r="H32" s="28" t="s">
        <v>18</v>
      </c>
      <c r="I32" s="71" t="s">
        <v>20</v>
      </c>
      <c r="J32" s="71"/>
    </row>
    <row r="33" spans="1:14" ht="43.5" customHeight="1" x14ac:dyDescent="0.25">
      <c r="A33" s="68" t="s">
        <v>45</v>
      </c>
      <c r="B33" s="69"/>
      <c r="C33" s="17">
        <v>552</v>
      </c>
      <c r="D33" s="23">
        <v>0</v>
      </c>
      <c r="E33" s="25">
        <v>0</v>
      </c>
      <c r="F33" s="23">
        <v>0</v>
      </c>
      <c r="G33" s="17">
        <f>C33+F33</f>
        <v>552</v>
      </c>
      <c r="H33" s="29">
        <v>12.1</v>
      </c>
      <c r="I33" s="70">
        <f>(G33)*H33</f>
        <v>6679.2</v>
      </c>
      <c r="J33" s="70"/>
      <c r="N33" s="2" t="s">
        <v>45</v>
      </c>
    </row>
    <row r="34" spans="1:14" ht="43.25" customHeight="1" x14ac:dyDescent="0.25">
      <c r="A34" s="68" t="s">
        <v>49</v>
      </c>
      <c r="B34" s="69"/>
      <c r="C34" s="17">
        <v>120</v>
      </c>
      <c r="D34" s="23">
        <v>0</v>
      </c>
      <c r="E34" s="25">
        <v>0</v>
      </c>
      <c r="F34" s="23">
        <v>0</v>
      </c>
      <c r="G34" s="17">
        <f>C34+F34</f>
        <v>120</v>
      </c>
      <c r="H34" s="29">
        <v>12.1</v>
      </c>
      <c r="I34" s="70">
        <f t="shared" ref="I34:I37" si="0">(G34)*H34</f>
        <v>1452</v>
      </c>
      <c r="J34" s="70"/>
      <c r="N34" s="2" t="s">
        <v>49</v>
      </c>
    </row>
    <row r="35" spans="1:14" ht="43.5" customHeight="1" x14ac:dyDescent="0.25">
      <c r="A35" s="68"/>
      <c r="B35" s="69"/>
      <c r="C35" s="17"/>
      <c r="D35" s="23"/>
      <c r="E35" s="25"/>
      <c r="F35" s="23"/>
      <c r="G35" s="17">
        <f t="shared" ref="G35:G36" si="1">C35+F35</f>
        <v>0</v>
      </c>
      <c r="H35" s="29"/>
      <c r="I35" s="70">
        <f t="shared" si="0"/>
        <v>0</v>
      </c>
      <c r="J35" s="70"/>
      <c r="N35" s="2" t="s">
        <v>46</v>
      </c>
    </row>
    <row r="36" spans="1:14" ht="43.5" customHeight="1" x14ac:dyDescent="0.25">
      <c r="A36" s="68"/>
      <c r="B36" s="69"/>
      <c r="C36" s="17"/>
      <c r="D36" s="23"/>
      <c r="E36" s="25"/>
      <c r="F36" s="23"/>
      <c r="G36" s="17">
        <f t="shared" si="1"/>
        <v>0</v>
      </c>
      <c r="H36" s="29"/>
      <c r="I36" s="70">
        <f t="shared" si="0"/>
        <v>0</v>
      </c>
      <c r="J36" s="70"/>
      <c r="N36" s="2" t="s">
        <v>48</v>
      </c>
    </row>
    <row r="37" spans="1:14" ht="43.5" customHeight="1" x14ac:dyDescent="0.25">
      <c r="A37" s="68"/>
      <c r="B37" s="69"/>
      <c r="C37" s="17"/>
      <c r="D37" s="23"/>
      <c r="E37" s="25"/>
      <c r="F37" s="23"/>
      <c r="G37" s="17">
        <f>C37+F37</f>
        <v>0</v>
      </c>
      <c r="H37" s="29"/>
      <c r="I37" s="70">
        <f t="shared" si="0"/>
        <v>0</v>
      </c>
      <c r="J37" s="70"/>
      <c r="N37" s="2" t="s">
        <v>47</v>
      </c>
    </row>
    <row r="38" spans="1:14" ht="43.5" customHeight="1" x14ac:dyDescent="0.25">
      <c r="A38" s="59"/>
      <c r="B38" s="60"/>
      <c r="C38" s="18" t="s">
        <v>21</v>
      </c>
      <c r="D38" s="24">
        <f>SUM(D33:D37)</f>
        <v>0</v>
      </c>
      <c r="E38" s="24">
        <f>SUM(E33:E37)</f>
        <v>0</v>
      </c>
      <c r="F38" s="24">
        <f>SUM(F33:F37)</f>
        <v>0</v>
      </c>
      <c r="G38" s="19">
        <f>SUM(G33:G37)</f>
        <v>672</v>
      </c>
      <c r="H38" s="30">
        <v>12.1</v>
      </c>
      <c r="I38" s="61">
        <f>SUM(I33:J37)</f>
        <v>8131.2</v>
      </c>
      <c r="J38" s="61"/>
      <c r="L38" s="33" t="s">
        <v>39</v>
      </c>
      <c r="M38" s="34" t="e">
        <f>I33+#REF!+#REF!+I37</f>
        <v>#REF!</v>
      </c>
    </row>
    <row r="39" spans="1:14" ht="12.75" customHeight="1" x14ac:dyDescent="0.25">
      <c r="A39" s="62"/>
      <c r="B39" s="62"/>
      <c r="C39" s="62"/>
      <c r="D39" s="62"/>
      <c r="E39" s="62"/>
      <c r="F39" s="62"/>
      <c r="G39" s="62"/>
      <c r="H39" s="62"/>
      <c r="I39" s="62"/>
      <c r="J39" s="62"/>
    </row>
    <row r="40" spans="1:14" ht="3" customHeight="1" x14ac:dyDescent="0.25">
      <c r="D40" s="51"/>
      <c r="E40" s="51"/>
      <c r="F40" s="51"/>
      <c r="G40" s="51"/>
      <c r="H40" s="51"/>
      <c r="I40" s="51"/>
      <c r="J40" s="51"/>
      <c r="N40" s="33" t="s">
        <v>38</v>
      </c>
    </row>
    <row r="41" spans="1:14" ht="7.5" customHeight="1" x14ac:dyDescent="0.25">
      <c r="A41" s="26"/>
      <c r="B41" s="26"/>
      <c r="C41" s="27"/>
      <c r="D41" s="27"/>
      <c r="E41" s="27"/>
      <c r="F41" s="27"/>
      <c r="G41" s="27"/>
      <c r="H41" s="27"/>
      <c r="I41" s="27"/>
      <c r="J41" s="27"/>
    </row>
    <row r="42" spans="1:14" ht="31.5" customHeight="1" x14ac:dyDescent="0.25">
      <c r="A42" s="63" t="s">
        <v>27</v>
      </c>
      <c r="B42" s="63"/>
      <c r="C42" s="64">
        <f>I38</f>
        <v>8131.2</v>
      </c>
      <c r="D42" s="65"/>
      <c r="E42" s="66"/>
      <c r="F42" s="67" t="s">
        <v>68</v>
      </c>
      <c r="G42" s="67"/>
      <c r="H42" s="67"/>
      <c r="I42" s="67"/>
      <c r="J42" s="67"/>
    </row>
    <row r="43" spans="1:14" ht="3" customHeight="1" x14ac:dyDescent="0.25">
      <c r="D43" s="51"/>
      <c r="E43" s="51"/>
      <c r="F43" s="51"/>
      <c r="G43" s="51"/>
      <c r="H43" s="51"/>
      <c r="I43" s="51"/>
      <c r="J43" s="51"/>
    </row>
    <row r="44" spans="1:14" ht="25.5" customHeight="1" x14ac:dyDescent="0.25">
      <c r="A44" s="52" t="s">
        <v>44</v>
      </c>
      <c r="B44" s="53"/>
      <c r="C44" s="53"/>
      <c r="D44" s="53"/>
      <c r="E44" s="53"/>
      <c r="F44" s="53"/>
      <c r="G44" s="53"/>
      <c r="H44" s="53"/>
      <c r="I44" s="53"/>
      <c r="J44" s="54"/>
      <c r="K44" s="9"/>
      <c r="L44" s="9"/>
      <c r="M44" s="9"/>
      <c r="N44" s="9"/>
    </row>
    <row r="45" spans="1:14" s="1" customFormat="1" ht="24.75" customHeight="1" x14ac:dyDescent="0.2">
      <c r="A45" s="55" t="s">
        <v>25</v>
      </c>
      <c r="B45" s="56"/>
      <c r="C45" s="56"/>
      <c r="D45" s="56"/>
      <c r="E45" s="56"/>
      <c r="F45" s="56"/>
      <c r="G45" s="56"/>
      <c r="H45" s="56"/>
      <c r="I45" s="56"/>
      <c r="J45" s="56"/>
    </row>
    <row r="46" spans="1:14" ht="3" customHeight="1" x14ac:dyDescent="0.25">
      <c r="D46" s="51"/>
      <c r="E46" s="51"/>
      <c r="F46" s="51"/>
      <c r="G46" s="51"/>
      <c r="H46" s="51"/>
      <c r="I46" s="51"/>
      <c r="J46" s="51"/>
    </row>
    <row r="47" spans="1:14" s="8" customFormat="1" ht="27.75" customHeight="1" x14ac:dyDescent="0.15">
      <c r="A47" s="57" t="s">
        <v>26</v>
      </c>
      <c r="B47" s="57"/>
      <c r="C47" s="58" t="s">
        <v>33</v>
      </c>
      <c r="D47" s="58"/>
      <c r="E47" s="58"/>
      <c r="F47" s="58"/>
      <c r="G47" s="58"/>
      <c r="H47" s="58"/>
      <c r="I47" s="58"/>
      <c r="J47" s="58"/>
    </row>
    <row r="48" spans="1:14" ht="27.75" customHeight="1" x14ac:dyDescent="0.25">
      <c r="A48" s="57"/>
      <c r="B48" s="57"/>
      <c r="C48" s="58"/>
      <c r="D48" s="58"/>
      <c r="E48" s="58"/>
      <c r="F48" s="58"/>
      <c r="G48" s="58"/>
      <c r="H48" s="58"/>
      <c r="I48" s="58"/>
      <c r="J48" s="58"/>
    </row>
    <row r="49" spans="1:10" ht="27.75" customHeight="1" x14ac:dyDescent="0.25">
      <c r="A49" s="57"/>
      <c r="B49" s="57"/>
      <c r="C49" s="58"/>
      <c r="D49" s="58"/>
      <c r="E49" s="58"/>
      <c r="F49" s="58"/>
      <c r="G49" s="58"/>
      <c r="H49" s="58"/>
      <c r="I49" s="58"/>
      <c r="J49" s="58"/>
    </row>
    <row r="50" spans="1:10" ht="13.5" customHeight="1" x14ac:dyDescent="0.25">
      <c r="B50" s="15"/>
      <c r="C50" s="15"/>
      <c r="D50" s="15" t="s">
        <v>61</v>
      </c>
      <c r="E50" s="15"/>
      <c r="F50" s="15"/>
      <c r="G50" s="50"/>
      <c r="H50" s="50"/>
      <c r="I50" s="50"/>
      <c r="J50" s="50"/>
    </row>
    <row r="51" spans="1:10" x14ac:dyDescent="0.25">
      <c r="A51" s="1"/>
      <c r="B51" s="1"/>
      <c r="C51" s="1"/>
      <c r="D51" s="1"/>
      <c r="E51" s="1"/>
      <c r="F51" s="1"/>
      <c r="G51" s="1"/>
      <c r="H51" s="1"/>
      <c r="I51" s="1"/>
    </row>
    <row r="52" spans="1:10" x14ac:dyDescent="0.25">
      <c r="A52" s="1"/>
      <c r="B52" s="1"/>
      <c r="C52" s="1"/>
      <c r="D52" s="1"/>
      <c r="E52" s="1"/>
      <c r="F52" s="1"/>
      <c r="G52" s="1"/>
      <c r="H52" s="1"/>
      <c r="I52" s="1"/>
    </row>
    <row r="53" spans="1:10" x14ac:dyDescent="0.25">
      <c r="A53" s="1"/>
      <c r="B53" s="1"/>
      <c r="C53" s="1"/>
      <c r="D53" s="1"/>
      <c r="E53" s="1"/>
      <c r="F53" s="1"/>
      <c r="G53" s="1"/>
      <c r="H53" s="1"/>
      <c r="I53" s="1"/>
    </row>
    <row r="54" spans="1:10" x14ac:dyDescent="0.25">
      <c r="A54" s="1"/>
      <c r="B54" s="1"/>
      <c r="C54" s="1"/>
      <c r="D54" s="1"/>
      <c r="E54" s="1"/>
      <c r="F54" s="1"/>
      <c r="G54" s="1"/>
      <c r="H54" s="1"/>
      <c r="I54" s="1"/>
    </row>
    <row r="55" spans="1:10" x14ac:dyDescent="0.25">
      <c r="A55" s="1"/>
      <c r="B55" s="1"/>
      <c r="C55" s="1"/>
      <c r="D55" s="1"/>
      <c r="E55" s="1"/>
      <c r="F55" s="1"/>
      <c r="G55" s="1"/>
      <c r="H55" s="1"/>
      <c r="I55" s="1"/>
    </row>
    <row r="56" spans="1:10" x14ac:dyDescent="0.25">
      <c r="A56" s="1"/>
      <c r="B56" s="1"/>
      <c r="C56" s="1"/>
      <c r="D56" s="1"/>
      <c r="E56" s="1"/>
      <c r="F56" s="1"/>
      <c r="G56" s="1"/>
      <c r="H56" s="1"/>
      <c r="I56" s="1"/>
    </row>
    <row r="57" spans="1:10" x14ac:dyDescent="0.25">
      <c r="A57" s="1"/>
      <c r="B57" s="1"/>
      <c r="C57" s="1"/>
      <c r="D57" s="1"/>
      <c r="E57" s="1"/>
      <c r="F57" s="1"/>
      <c r="G57" s="1"/>
      <c r="H57" s="1"/>
      <c r="I57" s="1"/>
    </row>
    <row r="58" spans="1:10" x14ac:dyDescent="0.25">
      <c r="A58" s="1"/>
      <c r="B58" s="1"/>
      <c r="C58" s="1"/>
      <c r="D58" s="1"/>
      <c r="E58" s="1"/>
      <c r="F58" s="1"/>
      <c r="G58" s="1"/>
      <c r="H58" s="1"/>
      <c r="I58" s="1"/>
    </row>
    <row r="59" spans="1:10" x14ac:dyDescent="0.25">
      <c r="A59" s="1"/>
      <c r="B59" s="1"/>
      <c r="C59" s="1"/>
      <c r="D59" s="1"/>
      <c r="E59" s="1"/>
      <c r="F59" s="1"/>
      <c r="G59" s="1"/>
      <c r="H59" s="1"/>
      <c r="I59" s="1"/>
    </row>
    <row r="60" spans="1:10" x14ac:dyDescent="0.25">
      <c r="A60" s="1"/>
      <c r="B60" s="1"/>
      <c r="C60" s="1"/>
      <c r="D60" s="1"/>
      <c r="E60" s="1"/>
      <c r="F60" s="1"/>
      <c r="G60" s="1"/>
      <c r="H60" s="1"/>
      <c r="I60" s="1"/>
    </row>
    <row r="61" spans="1:10" x14ac:dyDescent="0.25">
      <c r="A61" s="1"/>
      <c r="B61" s="1"/>
      <c r="C61" s="1"/>
      <c r="D61" s="1"/>
      <c r="E61" s="1"/>
      <c r="F61" s="1"/>
      <c r="G61" s="1"/>
      <c r="H61" s="1"/>
      <c r="I61" s="1"/>
    </row>
    <row r="62" spans="1:10" x14ac:dyDescent="0.25">
      <c r="A62" s="1"/>
      <c r="B62" s="1"/>
      <c r="C62" s="1"/>
      <c r="D62" s="1"/>
      <c r="E62" s="1"/>
      <c r="F62" s="1"/>
      <c r="G62" s="1"/>
      <c r="H62" s="1"/>
      <c r="I62" s="1"/>
    </row>
    <row r="63" spans="1:10" x14ac:dyDescent="0.25">
      <c r="A63" s="1"/>
      <c r="B63" s="1"/>
      <c r="C63" s="1"/>
      <c r="D63" s="1"/>
      <c r="E63" s="1"/>
      <c r="F63" s="1"/>
      <c r="G63" s="1"/>
      <c r="H63" s="1"/>
      <c r="I63" s="1"/>
    </row>
    <row r="64" spans="1:10" x14ac:dyDescent="0.25">
      <c r="A64" s="1"/>
      <c r="B64" s="1"/>
      <c r="C64" s="1"/>
      <c r="D64" s="1"/>
      <c r="E64" s="1"/>
      <c r="F64" s="1"/>
      <c r="G64" s="1"/>
      <c r="H64" s="1"/>
      <c r="I64" s="1"/>
    </row>
    <row r="65" spans="1:9" x14ac:dyDescent="0.25">
      <c r="A65" s="1"/>
      <c r="B65" s="1"/>
      <c r="C65" s="1"/>
      <c r="D65" s="1"/>
      <c r="E65" s="1"/>
      <c r="F65" s="1"/>
      <c r="G65" s="1"/>
      <c r="H65" s="1"/>
      <c r="I65" s="1"/>
    </row>
    <row r="66" spans="1:9" x14ac:dyDescent="0.25">
      <c r="A66" s="1"/>
      <c r="B66" s="1"/>
      <c r="C66" s="1"/>
      <c r="D66" s="1"/>
      <c r="E66" s="1"/>
      <c r="F66" s="1"/>
      <c r="G66" s="1"/>
      <c r="H66" s="1"/>
      <c r="I66" s="1"/>
    </row>
    <row r="67" spans="1:9" x14ac:dyDescent="0.25">
      <c r="A67" s="1"/>
      <c r="B67" s="1"/>
      <c r="C67" s="1"/>
      <c r="D67" s="1"/>
      <c r="E67" s="1"/>
      <c r="F67" s="1"/>
      <c r="G67" s="1"/>
      <c r="H67" s="1"/>
      <c r="I67" s="1"/>
    </row>
    <row r="68" spans="1:9" x14ac:dyDescent="0.25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25">
      <c r="A69" s="1"/>
      <c r="B69" s="1"/>
      <c r="C69" s="1"/>
      <c r="D69" s="1"/>
      <c r="E69" s="1"/>
      <c r="F69" s="1"/>
      <c r="G69" s="1"/>
      <c r="H69" s="1"/>
      <c r="I69" s="1"/>
    </row>
    <row r="70" spans="1:9" x14ac:dyDescent="0.25">
      <c r="A70" s="1"/>
      <c r="B70" s="1"/>
      <c r="C70" s="1"/>
      <c r="D70" s="1"/>
      <c r="E70" s="1"/>
      <c r="F70" s="1"/>
      <c r="G70" s="1"/>
      <c r="H70" s="1"/>
      <c r="I70" s="1"/>
    </row>
    <row r="71" spans="1:9" x14ac:dyDescent="0.25">
      <c r="A71" s="1"/>
      <c r="B71" s="1"/>
      <c r="C71" s="1"/>
      <c r="D71" s="1"/>
      <c r="E71" s="1"/>
      <c r="F71" s="1"/>
      <c r="G71" s="1"/>
      <c r="H71" s="1"/>
      <c r="I71" s="1"/>
    </row>
  </sheetData>
  <mergeCells count="64">
    <mergeCell ref="A2:B2"/>
    <mergeCell ref="D2:G2"/>
    <mergeCell ref="H2:J2"/>
    <mergeCell ref="A3:C3"/>
    <mergeCell ref="A4:C4"/>
    <mergeCell ref="D4:G4"/>
    <mergeCell ref="H4:J4"/>
    <mergeCell ref="A5:C5"/>
    <mergeCell ref="D5:G5"/>
    <mergeCell ref="H5:J5"/>
    <mergeCell ref="A6:C6"/>
    <mergeCell ref="D6:G6"/>
    <mergeCell ref="H6:J6"/>
    <mergeCell ref="G17:I18"/>
    <mergeCell ref="L6:N7"/>
    <mergeCell ref="D7:J7"/>
    <mergeCell ref="A8:B8"/>
    <mergeCell ref="D8:J8"/>
    <mergeCell ref="D9:J9"/>
    <mergeCell ref="D10:J10"/>
    <mergeCell ref="B12:C12"/>
    <mergeCell ref="B13:C13"/>
    <mergeCell ref="H13:J13"/>
    <mergeCell ref="D14:J14"/>
    <mergeCell ref="A15:B15"/>
    <mergeCell ref="B30:J30"/>
    <mergeCell ref="D21:J21"/>
    <mergeCell ref="A22:B22"/>
    <mergeCell ref="D22:E22"/>
    <mergeCell ref="G22:H22"/>
    <mergeCell ref="I22:J22"/>
    <mergeCell ref="A24:C24"/>
    <mergeCell ref="D24:F24"/>
    <mergeCell ref="D25:J25"/>
    <mergeCell ref="B26:J26"/>
    <mergeCell ref="D27:J27"/>
    <mergeCell ref="H28:J28"/>
    <mergeCell ref="D29:J29"/>
    <mergeCell ref="D31:J31"/>
    <mergeCell ref="I32:J32"/>
    <mergeCell ref="A33:B33"/>
    <mergeCell ref="I33:J33"/>
    <mergeCell ref="A34:B34"/>
    <mergeCell ref="I34:J34"/>
    <mergeCell ref="A35:B35"/>
    <mergeCell ref="I35:J35"/>
    <mergeCell ref="A36:B36"/>
    <mergeCell ref="I36:J36"/>
    <mergeCell ref="A37:B37"/>
    <mergeCell ref="I37:J37"/>
    <mergeCell ref="A38:B38"/>
    <mergeCell ref="I38:J38"/>
    <mergeCell ref="A39:J39"/>
    <mergeCell ref="D40:J40"/>
    <mergeCell ref="A42:B42"/>
    <mergeCell ref="C42:E42"/>
    <mergeCell ref="F42:J42"/>
    <mergeCell ref="G50:J50"/>
    <mergeCell ref="D43:J43"/>
    <mergeCell ref="A44:J44"/>
    <mergeCell ref="A45:J45"/>
    <mergeCell ref="D46:J46"/>
    <mergeCell ref="A47:B49"/>
    <mergeCell ref="C47:J49"/>
  </mergeCells>
  <dataValidations count="1">
    <dataValidation type="list" allowBlank="1" showInputMessage="1" showErrorMessage="1" sqref="A33:B37" xr:uid="{92F830A2-378F-9445-A17B-3E43F080F5E0}">
      <formula1>$N$33:$N$38</formula1>
    </dataValidation>
  </dataValidations>
  <printOptions horizontalCentered="1"/>
  <pageMargins left="3.937007874015748E-2" right="3.937007874015748E-2" top="0" bottom="0" header="0.31496062992125984" footer="0.31496062992125984"/>
  <pageSetup paperSize="9" scale="85" fitToHeight="0" orientation="portrait" copies="3" r:id="rId1"/>
  <headerFooter alignWithMargins="0">
    <oddFooter>&amp;L&amp;"Arial Unicode MS,Normal"&amp;8&amp;F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2E5AC-D1A6-F54C-B7D4-4BE635C4C5A3}">
  <sheetPr>
    <pageSetUpPr fitToPage="1"/>
  </sheetPr>
  <dimension ref="A1:N71"/>
  <sheetViews>
    <sheetView zoomScale="150" zoomScaleNormal="150" workbookViewId="0">
      <selection activeCell="C11" sqref="C11"/>
    </sheetView>
  </sheetViews>
  <sheetFormatPr baseColWidth="10" defaultColWidth="11.5" defaultRowHeight="16" x14ac:dyDescent="0.25"/>
  <cols>
    <col min="1" max="1" width="15.5" style="2" customWidth="1"/>
    <col min="2" max="3" width="16.5" style="2" customWidth="1"/>
    <col min="4" max="5" width="10.83203125" style="2" customWidth="1"/>
    <col min="6" max="6" width="10.5" style="2" customWidth="1"/>
    <col min="7" max="7" width="10.33203125" style="2" customWidth="1"/>
    <col min="8" max="8" width="12.33203125" style="2" customWidth="1"/>
    <col min="9" max="9" width="9" style="2" customWidth="1"/>
    <col min="10" max="10" width="12.33203125" style="2" customWidth="1"/>
    <col min="11" max="13" width="11.5" style="2"/>
    <col min="14" max="14" width="35" style="2" bestFit="1" customWidth="1"/>
    <col min="15" max="16384" width="11.5" style="2"/>
  </cols>
  <sheetData>
    <row r="1" spans="1:14" ht="3.75" customHeight="1" x14ac:dyDescent="0.25">
      <c r="A1" s="9"/>
      <c r="B1" s="9"/>
      <c r="C1" s="9"/>
      <c r="D1" s="41"/>
      <c r="E1" s="42"/>
      <c r="F1" s="42"/>
      <c r="G1" s="42"/>
      <c r="H1" s="42"/>
      <c r="I1" s="42"/>
      <c r="J1" s="43"/>
    </row>
    <row r="2" spans="1:14" s="8" customFormat="1" ht="14.25" customHeight="1" x14ac:dyDescent="0.15">
      <c r="A2" s="99" t="s">
        <v>23</v>
      </c>
      <c r="B2" s="99"/>
      <c r="D2" s="100" t="s">
        <v>41</v>
      </c>
      <c r="E2" s="101"/>
      <c r="F2" s="101"/>
      <c r="G2" s="101"/>
      <c r="H2" s="91" t="s">
        <v>67</v>
      </c>
      <c r="I2" s="91"/>
      <c r="J2" s="92"/>
    </row>
    <row r="3" spans="1:14" s="8" customFormat="1" x14ac:dyDescent="0.15">
      <c r="A3" s="89" t="s">
        <v>52</v>
      </c>
      <c r="B3" s="89"/>
      <c r="C3" s="89"/>
      <c r="D3" s="36"/>
      <c r="J3" s="37"/>
    </row>
    <row r="4" spans="1:14" s="8" customFormat="1" ht="15.75" customHeight="1" x14ac:dyDescent="0.15">
      <c r="A4" s="89" t="s">
        <v>53</v>
      </c>
      <c r="B4" s="89"/>
      <c r="C4" s="89"/>
      <c r="D4" s="100" t="s">
        <v>40</v>
      </c>
      <c r="E4" s="101"/>
      <c r="F4" s="101"/>
      <c r="G4" s="101"/>
      <c r="H4" s="102">
        <v>20260292</v>
      </c>
      <c r="I4" s="102"/>
      <c r="J4" s="103"/>
      <c r="L4" s="10"/>
    </row>
    <row r="5" spans="1:14" s="8" customFormat="1" ht="18" x14ac:dyDescent="0.15">
      <c r="A5" s="89" t="s">
        <v>54</v>
      </c>
      <c r="B5" s="89"/>
      <c r="C5" s="89"/>
      <c r="D5" s="95"/>
      <c r="E5" s="96"/>
      <c r="F5" s="96"/>
      <c r="G5" s="96"/>
      <c r="H5" s="97"/>
      <c r="I5" s="97"/>
      <c r="J5" s="98"/>
    </row>
    <row r="6" spans="1:14" s="8" customFormat="1" ht="17.25" customHeight="1" x14ac:dyDescent="0.15">
      <c r="A6" s="89"/>
      <c r="B6" s="89"/>
      <c r="C6" s="89"/>
      <c r="D6" s="95" t="s">
        <v>58</v>
      </c>
      <c r="E6" s="96"/>
      <c r="F6" s="96"/>
      <c r="G6" s="96"/>
      <c r="H6" s="97">
        <v>46199</v>
      </c>
      <c r="I6" s="97"/>
      <c r="J6" s="98"/>
      <c r="L6" s="81"/>
      <c r="M6" s="81"/>
      <c r="N6" s="81"/>
    </row>
    <row r="7" spans="1:14" s="8" customFormat="1" ht="17" x14ac:dyDescent="0.15">
      <c r="D7" s="82"/>
      <c r="E7" s="83"/>
      <c r="F7" s="83"/>
      <c r="G7" s="83"/>
      <c r="H7" s="83"/>
      <c r="I7" s="83"/>
      <c r="J7" s="84"/>
      <c r="L7" s="81"/>
      <c r="M7" s="81"/>
      <c r="N7" s="81"/>
    </row>
    <row r="8" spans="1:14" s="8" customFormat="1" ht="18" x14ac:dyDescent="0.15">
      <c r="A8" s="85" t="s">
        <v>0</v>
      </c>
      <c r="B8" s="85"/>
      <c r="D8" s="86" t="s">
        <v>42</v>
      </c>
      <c r="E8" s="87"/>
      <c r="F8" s="87"/>
      <c r="G8" s="87"/>
      <c r="H8" s="87"/>
      <c r="I8" s="87"/>
      <c r="J8" s="88"/>
    </row>
    <row r="9" spans="1:14" s="8" customFormat="1" ht="12.75" customHeight="1" x14ac:dyDescent="0.15">
      <c r="A9" s="7" t="s">
        <v>1</v>
      </c>
      <c r="B9" s="47" t="s">
        <v>56</v>
      </c>
      <c r="C9" s="47"/>
      <c r="D9" s="82" t="s">
        <v>43</v>
      </c>
      <c r="E9" s="83"/>
      <c r="F9" s="83"/>
      <c r="G9" s="83"/>
      <c r="H9" s="83"/>
      <c r="I9" s="83"/>
      <c r="J9" s="84"/>
    </row>
    <row r="10" spans="1:14" s="8" customFormat="1" ht="12.75" customHeight="1" x14ac:dyDescent="0.15">
      <c r="A10" s="7" t="s">
        <v>2</v>
      </c>
      <c r="B10" s="47">
        <v>93830600283</v>
      </c>
      <c r="C10" s="47"/>
      <c r="D10" s="82" t="s">
        <v>11</v>
      </c>
      <c r="E10" s="83"/>
      <c r="F10" s="83"/>
      <c r="G10" s="83"/>
      <c r="H10" s="83"/>
      <c r="I10" s="83"/>
      <c r="J10" s="84"/>
    </row>
    <row r="11" spans="1:14" s="8" customFormat="1" ht="12.75" customHeight="1" x14ac:dyDescent="0.15">
      <c r="A11" s="7" t="s">
        <v>3</v>
      </c>
      <c r="B11" s="49">
        <v>84089988400026</v>
      </c>
      <c r="C11" s="47"/>
      <c r="D11" s="36"/>
      <c r="J11" s="37"/>
    </row>
    <row r="12" spans="1:14" s="8" customFormat="1" ht="12.75" customHeight="1" x14ac:dyDescent="0.15">
      <c r="A12" s="7" t="s">
        <v>4</v>
      </c>
      <c r="B12" s="89" t="s">
        <v>55</v>
      </c>
      <c r="C12" s="89"/>
      <c r="D12" s="38" t="s">
        <v>24</v>
      </c>
      <c r="E12" s="10"/>
      <c r="F12" s="10"/>
      <c r="G12" s="11"/>
      <c r="H12" s="11"/>
      <c r="J12" s="37"/>
    </row>
    <row r="13" spans="1:14" s="8" customFormat="1" ht="15.75" customHeight="1" x14ac:dyDescent="0.15">
      <c r="B13" s="90"/>
      <c r="C13" s="90"/>
      <c r="D13" s="36" t="s">
        <v>19</v>
      </c>
      <c r="G13" s="12"/>
      <c r="H13" s="91">
        <v>51190</v>
      </c>
      <c r="I13" s="91"/>
      <c r="J13" s="92"/>
    </row>
    <row r="14" spans="1:14" ht="3" customHeight="1" x14ac:dyDescent="0.25">
      <c r="D14" s="93"/>
      <c r="E14" s="51"/>
      <c r="F14" s="51"/>
      <c r="G14" s="51"/>
      <c r="H14" s="51"/>
      <c r="I14" s="51"/>
      <c r="J14" s="94"/>
    </row>
    <row r="15" spans="1:14" x14ac:dyDescent="0.25">
      <c r="A15" s="85" t="s">
        <v>5</v>
      </c>
      <c r="B15" s="85"/>
      <c r="C15" s="13"/>
      <c r="D15" s="39"/>
      <c r="I15" s="14"/>
      <c r="J15" s="40"/>
      <c r="K15" s="14"/>
    </row>
    <row r="16" spans="1:14" s="8" customFormat="1" ht="12.75" customHeight="1" x14ac:dyDescent="0.2">
      <c r="A16" s="7" t="s">
        <v>6</v>
      </c>
      <c r="B16" s="47" t="s">
        <v>59</v>
      </c>
      <c r="D16" s="38" t="s">
        <v>22</v>
      </c>
      <c r="E16" s="10"/>
      <c r="F16" s="10"/>
      <c r="G16" s="8" t="s">
        <v>50</v>
      </c>
      <c r="H16" s="14"/>
      <c r="J16" s="37"/>
    </row>
    <row r="17" spans="1:10" s="8" customFormat="1" ht="12.75" customHeight="1" x14ac:dyDescent="0.15">
      <c r="A17" s="7" t="s">
        <v>7</v>
      </c>
      <c r="B17" s="47">
        <v>16958</v>
      </c>
      <c r="D17" s="36"/>
      <c r="G17" s="80" t="s">
        <v>51</v>
      </c>
      <c r="H17" s="80"/>
      <c r="I17" s="80"/>
      <c r="J17" s="37"/>
    </row>
    <row r="18" spans="1:10" s="8" customFormat="1" ht="12.75" customHeight="1" x14ac:dyDescent="0.15">
      <c r="A18" s="7" t="s">
        <v>8</v>
      </c>
      <c r="B18" s="48" t="s">
        <v>62</v>
      </c>
      <c r="D18" s="36"/>
      <c r="G18" s="80"/>
      <c r="H18" s="80"/>
      <c r="I18" s="80"/>
      <c r="J18" s="37"/>
    </row>
    <row r="19" spans="1:10" s="8" customFormat="1" ht="12.75" customHeight="1" x14ac:dyDescent="0.15">
      <c r="A19" s="7" t="s">
        <v>9</v>
      </c>
      <c r="B19" s="47">
        <v>23326192434</v>
      </c>
      <c r="D19" s="36"/>
      <c r="J19" s="37"/>
    </row>
    <row r="20" spans="1:10" s="8" customFormat="1" ht="12.75" customHeight="1" x14ac:dyDescent="0.15">
      <c r="A20" s="7" t="s">
        <v>10</v>
      </c>
      <c r="B20" s="47">
        <v>45</v>
      </c>
      <c r="D20" s="44"/>
      <c r="E20" s="45"/>
      <c r="F20" s="45"/>
      <c r="G20" s="45"/>
      <c r="H20" s="45"/>
      <c r="I20" s="45"/>
      <c r="J20" s="46"/>
    </row>
    <row r="21" spans="1:10" ht="10.5" customHeight="1" x14ac:dyDescent="0.25">
      <c r="D21" s="51"/>
      <c r="E21" s="51"/>
      <c r="F21" s="51"/>
      <c r="G21" s="51"/>
      <c r="H21" s="51"/>
      <c r="I21" s="51"/>
      <c r="J21" s="51"/>
    </row>
    <row r="22" spans="1:10" s="8" customFormat="1" ht="21.75" customHeight="1" x14ac:dyDescent="0.15">
      <c r="A22" s="73" t="s">
        <v>34</v>
      </c>
      <c r="B22" s="73"/>
      <c r="C22" s="20" t="s">
        <v>29</v>
      </c>
      <c r="D22" s="74">
        <v>46174</v>
      </c>
      <c r="E22" s="75"/>
      <c r="F22" s="21" t="s">
        <v>30</v>
      </c>
      <c r="G22" s="74">
        <v>46199</v>
      </c>
      <c r="H22" s="75"/>
      <c r="I22" s="104" t="s">
        <v>28</v>
      </c>
      <c r="J22" s="104"/>
    </row>
    <row r="23" spans="1:10" s="8" customFormat="1" ht="3.75" customHeight="1" x14ac:dyDescent="0.15">
      <c r="A23" s="31"/>
      <c r="B23" s="31"/>
      <c r="C23" s="20"/>
      <c r="D23" s="20"/>
      <c r="E23" s="20"/>
      <c r="F23" s="20"/>
      <c r="G23" s="21"/>
      <c r="H23" s="20"/>
      <c r="I23" s="31"/>
      <c r="J23" s="31"/>
    </row>
    <row r="24" spans="1:10" s="8" customFormat="1" ht="21.75" customHeight="1" x14ac:dyDescent="0.15">
      <c r="A24" s="77" t="s">
        <v>35</v>
      </c>
      <c r="B24" s="77"/>
      <c r="C24" s="77"/>
      <c r="D24" s="75" t="s">
        <v>67</v>
      </c>
      <c r="E24" s="75"/>
      <c r="F24" s="75"/>
      <c r="G24" s="21"/>
      <c r="H24" s="20"/>
      <c r="I24" s="31"/>
      <c r="J24" s="31"/>
    </row>
    <row r="25" spans="1:10" ht="3" customHeight="1" x14ac:dyDescent="0.25">
      <c r="D25" s="51"/>
      <c r="E25" s="51"/>
      <c r="F25" s="51"/>
      <c r="G25" s="51"/>
      <c r="H25" s="51"/>
      <c r="I25" s="51"/>
      <c r="J25" s="51"/>
    </row>
    <row r="26" spans="1:10" s="1" customFormat="1" ht="21.75" customHeight="1" x14ac:dyDescent="0.2">
      <c r="A26" s="3" t="s">
        <v>12</v>
      </c>
      <c r="B26" s="78" t="s">
        <v>60</v>
      </c>
      <c r="C26" s="78"/>
      <c r="D26" s="78"/>
      <c r="E26" s="78"/>
      <c r="F26" s="78"/>
      <c r="G26" s="78"/>
      <c r="H26" s="78"/>
      <c r="I26" s="78"/>
      <c r="J26" s="78"/>
    </row>
    <row r="27" spans="1:10" ht="3" customHeight="1" x14ac:dyDescent="0.25">
      <c r="D27" s="51"/>
      <c r="E27" s="51"/>
      <c r="F27" s="51"/>
      <c r="G27" s="51"/>
      <c r="H27" s="51"/>
      <c r="I27" s="51"/>
      <c r="J27" s="51"/>
    </row>
    <row r="28" spans="1:10" s="1" customFormat="1" ht="21.75" customHeight="1" x14ac:dyDescent="0.2">
      <c r="A28" s="4" t="s">
        <v>13</v>
      </c>
      <c r="B28" s="6">
        <v>46113</v>
      </c>
      <c r="C28" s="4" t="s">
        <v>14</v>
      </c>
      <c r="D28" s="6">
        <v>46199</v>
      </c>
      <c r="E28" s="6"/>
      <c r="F28" s="6"/>
      <c r="G28" s="5"/>
      <c r="H28" s="79"/>
      <c r="I28" s="79"/>
      <c r="J28" s="79"/>
    </row>
    <row r="29" spans="1:10" ht="3" customHeight="1" x14ac:dyDescent="0.25">
      <c r="D29" s="51"/>
      <c r="E29" s="51"/>
      <c r="F29" s="51"/>
      <c r="G29" s="51"/>
      <c r="H29" s="51"/>
      <c r="I29" s="51"/>
      <c r="J29" s="51"/>
    </row>
    <row r="30" spans="1:10" s="1" customFormat="1" ht="21.75" customHeight="1" x14ac:dyDescent="0.2">
      <c r="A30" s="4" t="s">
        <v>15</v>
      </c>
      <c r="B30" s="72" t="s">
        <v>57</v>
      </c>
      <c r="C30" s="72"/>
      <c r="D30" s="72"/>
      <c r="E30" s="72"/>
      <c r="F30" s="72"/>
      <c r="G30" s="72"/>
      <c r="H30" s="72"/>
      <c r="I30" s="72"/>
      <c r="J30" s="72"/>
    </row>
    <row r="31" spans="1:10" ht="3" customHeight="1" x14ac:dyDescent="0.25">
      <c r="D31" s="51"/>
      <c r="E31" s="51"/>
      <c r="F31" s="51"/>
      <c r="G31" s="51"/>
      <c r="H31" s="51"/>
      <c r="I31" s="51"/>
      <c r="J31" s="51"/>
    </row>
    <row r="32" spans="1:10" ht="53.25" customHeight="1" x14ac:dyDescent="0.25">
      <c r="A32" s="32" t="s">
        <v>36</v>
      </c>
      <c r="B32" s="35"/>
      <c r="C32" s="22" t="s">
        <v>31</v>
      </c>
      <c r="D32" s="22" t="s">
        <v>37</v>
      </c>
      <c r="E32" s="22" t="s">
        <v>32</v>
      </c>
      <c r="F32" s="22" t="s">
        <v>16</v>
      </c>
      <c r="G32" s="16" t="s">
        <v>17</v>
      </c>
      <c r="H32" s="28" t="s">
        <v>18</v>
      </c>
      <c r="I32" s="71" t="s">
        <v>20</v>
      </c>
      <c r="J32" s="71"/>
    </row>
    <row r="33" spans="1:14" ht="43.5" customHeight="1" x14ac:dyDescent="0.25">
      <c r="A33" s="68" t="s">
        <v>48</v>
      </c>
      <c r="B33" s="69"/>
      <c r="C33" s="17">
        <v>247</v>
      </c>
      <c r="D33" s="23">
        <v>0</v>
      </c>
      <c r="E33" s="25">
        <v>0</v>
      </c>
      <c r="F33" s="23">
        <v>0</v>
      </c>
      <c r="G33" s="17">
        <f>C33+F33</f>
        <v>247</v>
      </c>
      <c r="H33" s="29">
        <v>12.1</v>
      </c>
      <c r="I33" s="70">
        <f>(G33)*H33</f>
        <v>2988.7</v>
      </c>
      <c r="J33" s="70"/>
      <c r="N33" s="2" t="s">
        <v>45</v>
      </c>
    </row>
    <row r="34" spans="1:14" ht="43.25" customHeight="1" x14ac:dyDescent="0.25">
      <c r="A34" s="68"/>
      <c r="B34" s="69"/>
      <c r="C34" s="17"/>
      <c r="D34" s="23"/>
      <c r="E34" s="25"/>
      <c r="F34" s="23"/>
      <c r="G34" s="17"/>
      <c r="H34" s="29"/>
      <c r="I34" s="70"/>
      <c r="J34" s="70"/>
      <c r="N34" s="2" t="s">
        <v>49</v>
      </c>
    </row>
    <row r="35" spans="1:14" ht="43.5" customHeight="1" x14ac:dyDescent="0.25">
      <c r="A35" s="68"/>
      <c r="B35" s="69"/>
      <c r="C35" s="17"/>
      <c r="D35" s="23"/>
      <c r="E35" s="25"/>
      <c r="F35" s="23"/>
      <c r="G35" s="17">
        <f t="shared" ref="G35:G36" si="0">C35+F35</f>
        <v>0</v>
      </c>
      <c r="H35" s="29"/>
      <c r="I35" s="70">
        <f t="shared" ref="I34:I37" si="1">(G35)*H35</f>
        <v>0</v>
      </c>
      <c r="J35" s="70"/>
      <c r="N35" s="2" t="s">
        <v>46</v>
      </c>
    </row>
    <row r="36" spans="1:14" ht="43.5" customHeight="1" x14ac:dyDescent="0.25">
      <c r="A36" s="68"/>
      <c r="B36" s="69"/>
      <c r="C36" s="17"/>
      <c r="D36" s="23"/>
      <c r="E36" s="25"/>
      <c r="F36" s="23"/>
      <c r="G36" s="17">
        <f t="shared" si="0"/>
        <v>0</v>
      </c>
      <c r="H36" s="29"/>
      <c r="I36" s="70">
        <f t="shared" si="1"/>
        <v>0</v>
      </c>
      <c r="J36" s="70"/>
      <c r="N36" s="2" t="s">
        <v>48</v>
      </c>
    </row>
    <row r="37" spans="1:14" ht="43.5" customHeight="1" x14ac:dyDescent="0.25">
      <c r="A37" s="68"/>
      <c r="B37" s="69"/>
      <c r="C37" s="17"/>
      <c r="D37" s="23"/>
      <c r="E37" s="25"/>
      <c r="F37" s="23"/>
      <c r="G37" s="17">
        <f>C37+F37</f>
        <v>0</v>
      </c>
      <c r="H37" s="29"/>
      <c r="I37" s="70">
        <f t="shared" si="1"/>
        <v>0</v>
      </c>
      <c r="J37" s="70"/>
      <c r="N37" s="2" t="s">
        <v>47</v>
      </c>
    </row>
    <row r="38" spans="1:14" ht="43.5" customHeight="1" x14ac:dyDescent="0.25">
      <c r="A38" s="59"/>
      <c r="B38" s="60"/>
      <c r="C38" s="18" t="s">
        <v>21</v>
      </c>
      <c r="D38" s="24">
        <f>SUM(D33:D37)</f>
        <v>0</v>
      </c>
      <c r="E38" s="24">
        <f>SUM(E33:E37)</f>
        <v>0</v>
      </c>
      <c r="F38" s="24">
        <f>SUM(F33:F37)</f>
        <v>0</v>
      </c>
      <c r="G38" s="19">
        <f>SUM(G33:G37)</f>
        <v>247</v>
      </c>
      <c r="H38" s="30">
        <v>12.1</v>
      </c>
      <c r="I38" s="61">
        <f>SUM(I33:J37)</f>
        <v>2988.7</v>
      </c>
      <c r="J38" s="61"/>
      <c r="L38" s="33" t="s">
        <v>39</v>
      </c>
      <c r="M38" s="34" t="e">
        <f>I33+#REF!+#REF!+I37</f>
        <v>#REF!</v>
      </c>
    </row>
    <row r="39" spans="1:14" ht="12.75" customHeight="1" x14ac:dyDescent="0.25">
      <c r="A39" s="62"/>
      <c r="B39" s="62"/>
      <c r="C39" s="62"/>
      <c r="D39" s="62"/>
      <c r="E39" s="62"/>
      <c r="F39" s="62"/>
      <c r="G39" s="62"/>
      <c r="H39" s="62"/>
      <c r="I39" s="62"/>
      <c r="J39" s="62"/>
    </row>
    <row r="40" spans="1:14" ht="3" customHeight="1" x14ac:dyDescent="0.25">
      <c r="D40" s="51"/>
      <c r="E40" s="51"/>
      <c r="F40" s="51"/>
      <c r="G40" s="51"/>
      <c r="H40" s="51"/>
      <c r="I40" s="51"/>
      <c r="J40" s="51"/>
      <c r="N40" s="33" t="s">
        <v>38</v>
      </c>
    </row>
    <row r="41" spans="1:14" ht="7.5" customHeight="1" x14ac:dyDescent="0.25">
      <c r="A41" s="26"/>
      <c r="B41" s="26"/>
      <c r="C41" s="27"/>
      <c r="D41" s="27"/>
      <c r="E41" s="27"/>
      <c r="F41" s="27"/>
      <c r="G41" s="27"/>
      <c r="H41" s="27"/>
      <c r="I41" s="27"/>
      <c r="J41" s="27"/>
    </row>
    <row r="42" spans="1:14" ht="31.5" customHeight="1" x14ac:dyDescent="0.25">
      <c r="A42" s="63" t="s">
        <v>27</v>
      </c>
      <c r="B42" s="63"/>
      <c r="C42" s="64">
        <f>I38</f>
        <v>2988.7</v>
      </c>
      <c r="D42" s="65"/>
      <c r="E42" s="66"/>
      <c r="F42" s="67" t="s">
        <v>70</v>
      </c>
      <c r="G42" s="67"/>
      <c r="H42" s="67"/>
      <c r="I42" s="67"/>
      <c r="J42" s="67"/>
    </row>
    <row r="43" spans="1:14" ht="3" customHeight="1" x14ac:dyDescent="0.25">
      <c r="D43" s="51"/>
      <c r="E43" s="51"/>
      <c r="F43" s="51"/>
      <c r="G43" s="51"/>
      <c r="H43" s="51"/>
      <c r="I43" s="51"/>
      <c r="J43" s="51"/>
    </row>
    <row r="44" spans="1:14" ht="25.5" customHeight="1" x14ac:dyDescent="0.25">
      <c r="A44" s="52" t="s">
        <v>44</v>
      </c>
      <c r="B44" s="53"/>
      <c r="C44" s="53"/>
      <c r="D44" s="53"/>
      <c r="E44" s="53"/>
      <c r="F44" s="53"/>
      <c r="G44" s="53"/>
      <c r="H44" s="53"/>
      <c r="I44" s="53"/>
      <c r="J44" s="54"/>
      <c r="K44" s="9"/>
      <c r="L44" s="9"/>
      <c r="M44" s="9"/>
      <c r="N44" s="9"/>
    </row>
    <row r="45" spans="1:14" s="1" customFormat="1" ht="24.75" customHeight="1" x14ac:dyDescent="0.2">
      <c r="A45" s="55" t="s">
        <v>25</v>
      </c>
      <c r="B45" s="56"/>
      <c r="C45" s="56"/>
      <c r="D45" s="56"/>
      <c r="E45" s="56"/>
      <c r="F45" s="56"/>
      <c r="G45" s="56"/>
      <c r="H45" s="56"/>
      <c r="I45" s="56"/>
      <c r="J45" s="56"/>
    </row>
    <row r="46" spans="1:14" ht="3" customHeight="1" x14ac:dyDescent="0.25">
      <c r="D46" s="51"/>
      <c r="E46" s="51"/>
      <c r="F46" s="51"/>
      <c r="G46" s="51"/>
      <c r="H46" s="51"/>
      <c r="I46" s="51"/>
      <c r="J46" s="51"/>
    </row>
    <row r="47" spans="1:14" s="8" customFormat="1" ht="27.75" customHeight="1" x14ac:dyDescent="0.15">
      <c r="A47" s="57" t="s">
        <v>26</v>
      </c>
      <c r="B47" s="57"/>
      <c r="C47" s="58" t="s">
        <v>33</v>
      </c>
      <c r="D47" s="58"/>
      <c r="E47" s="58"/>
      <c r="F47" s="58"/>
      <c r="G47" s="58"/>
      <c r="H47" s="58"/>
      <c r="I47" s="58"/>
      <c r="J47" s="58"/>
    </row>
    <row r="48" spans="1:14" ht="27.75" customHeight="1" x14ac:dyDescent="0.25">
      <c r="A48" s="57"/>
      <c r="B48" s="57"/>
      <c r="C48" s="58"/>
      <c r="D48" s="58"/>
      <c r="E48" s="58"/>
      <c r="F48" s="58"/>
      <c r="G48" s="58"/>
      <c r="H48" s="58"/>
      <c r="I48" s="58"/>
      <c r="J48" s="58"/>
    </row>
    <row r="49" spans="1:10" ht="27.75" customHeight="1" x14ac:dyDescent="0.25">
      <c r="A49" s="57"/>
      <c r="B49" s="57"/>
      <c r="C49" s="58"/>
      <c r="D49" s="58"/>
      <c r="E49" s="58"/>
      <c r="F49" s="58"/>
      <c r="G49" s="58"/>
      <c r="H49" s="58"/>
      <c r="I49" s="58"/>
      <c r="J49" s="58"/>
    </row>
    <row r="50" spans="1:10" ht="13.5" customHeight="1" x14ac:dyDescent="0.25">
      <c r="B50" s="15"/>
      <c r="C50" s="15"/>
      <c r="D50" s="15" t="s">
        <v>61</v>
      </c>
      <c r="E50" s="15"/>
      <c r="F50" s="15"/>
      <c r="G50" s="50"/>
      <c r="H50" s="50"/>
      <c r="I50" s="50"/>
      <c r="J50" s="50"/>
    </row>
    <row r="51" spans="1:10" x14ac:dyDescent="0.25">
      <c r="A51" s="1"/>
      <c r="B51" s="1"/>
      <c r="C51" s="1"/>
      <c r="D51" s="1"/>
      <c r="E51" s="1"/>
      <c r="F51" s="1"/>
      <c r="G51" s="1"/>
      <c r="H51" s="1"/>
      <c r="I51" s="1"/>
    </row>
    <row r="52" spans="1:10" x14ac:dyDescent="0.25">
      <c r="A52" s="1"/>
      <c r="B52" s="1"/>
      <c r="C52" s="1"/>
      <c r="D52" s="1"/>
      <c r="E52" s="1"/>
      <c r="F52" s="1"/>
      <c r="G52" s="1"/>
      <c r="H52" s="1"/>
      <c r="I52" s="1"/>
    </row>
    <row r="53" spans="1:10" x14ac:dyDescent="0.25">
      <c r="A53" s="1"/>
      <c r="B53" s="1"/>
      <c r="C53" s="1"/>
      <c r="D53" s="1"/>
      <c r="E53" s="1"/>
      <c r="F53" s="1"/>
      <c r="G53" s="1"/>
      <c r="H53" s="1"/>
      <c r="I53" s="1"/>
    </row>
    <row r="54" spans="1:10" x14ac:dyDescent="0.25">
      <c r="A54" s="1"/>
      <c r="B54" s="1"/>
      <c r="C54" s="1"/>
      <c r="D54" s="1"/>
      <c r="E54" s="1"/>
      <c r="F54" s="1"/>
      <c r="G54" s="1"/>
      <c r="H54" s="1"/>
      <c r="I54" s="1"/>
    </row>
    <row r="55" spans="1:10" x14ac:dyDescent="0.25">
      <c r="A55" s="1"/>
      <c r="B55" s="1"/>
      <c r="C55" s="1"/>
      <c r="D55" s="1"/>
      <c r="E55" s="1"/>
      <c r="F55" s="1"/>
      <c r="G55" s="1"/>
      <c r="H55" s="1"/>
      <c r="I55" s="1"/>
    </row>
    <row r="56" spans="1:10" x14ac:dyDescent="0.25">
      <c r="A56" s="1"/>
      <c r="B56" s="1"/>
      <c r="C56" s="1"/>
      <c r="D56" s="1"/>
      <c r="E56" s="1"/>
      <c r="F56" s="1"/>
      <c r="G56" s="1"/>
      <c r="H56" s="1"/>
      <c r="I56" s="1"/>
    </row>
    <row r="57" spans="1:10" x14ac:dyDescent="0.25">
      <c r="A57" s="1"/>
      <c r="B57" s="1"/>
      <c r="C57" s="1"/>
      <c r="D57" s="1"/>
      <c r="E57" s="1"/>
      <c r="F57" s="1"/>
      <c r="G57" s="1"/>
      <c r="H57" s="1"/>
      <c r="I57" s="1"/>
    </row>
    <row r="58" spans="1:10" x14ac:dyDescent="0.25">
      <c r="A58" s="1"/>
      <c r="B58" s="1"/>
      <c r="C58" s="1"/>
      <c r="D58" s="1"/>
      <c r="E58" s="1"/>
      <c r="F58" s="1"/>
      <c r="G58" s="1"/>
      <c r="H58" s="1"/>
      <c r="I58" s="1"/>
    </row>
    <row r="59" spans="1:10" x14ac:dyDescent="0.25">
      <c r="A59" s="1"/>
      <c r="B59" s="1"/>
      <c r="C59" s="1"/>
      <c r="D59" s="1"/>
      <c r="E59" s="1"/>
      <c r="F59" s="1"/>
      <c r="G59" s="1"/>
      <c r="H59" s="1"/>
      <c r="I59" s="1"/>
    </row>
    <row r="60" spans="1:10" x14ac:dyDescent="0.25">
      <c r="A60" s="1"/>
      <c r="B60" s="1"/>
      <c r="C60" s="1"/>
      <c r="D60" s="1"/>
      <c r="E60" s="1"/>
      <c r="F60" s="1"/>
      <c r="G60" s="1"/>
      <c r="H60" s="1"/>
      <c r="I60" s="1"/>
    </row>
    <row r="61" spans="1:10" x14ac:dyDescent="0.25">
      <c r="A61" s="1"/>
      <c r="B61" s="1"/>
      <c r="C61" s="1"/>
      <c r="D61" s="1"/>
      <c r="E61" s="1"/>
      <c r="F61" s="1"/>
      <c r="G61" s="1"/>
      <c r="H61" s="1"/>
      <c r="I61" s="1"/>
    </row>
    <row r="62" spans="1:10" x14ac:dyDescent="0.25">
      <c r="A62" s="1"/>
      <c r="B62" s="1"/>
      <c r="C62" s="1"/>
      <c r="D62" s="1"/>
      <c r="E62" s="1"/>
      <c r="F62" s="1"/>
      <c r="G62" s="1"/>
      <c r="H62" s="1"/>
      <c r="I62" s="1"/>
    </row>
    <row r="63" spans="1:10" x14ac:dyDescent="0.25">
      <c r="A63" s="1"/>
      <c r="B63" s="1"/>
      <c r="C63" s="1"/>
      <c r="D63" s="1"/>
      <c r="E63" s="1"/>
      <c r="F63" s="1"/>
      <c r="G63" s="1"/>
      <c r="H63" s="1"/>
      <c r="I63" s="1"/>
    </row>
    <row r="64" spans="1:10" x14ac:dyDescent="0.25">
      <c r="A64" s="1"/>
      <c r="B64" s="1"/>
      <c r="C64" s="1"/>
      <c r="D64" s="1"/>
      <c r="E64" s="1"/>
      <c r="F64" s="1"/>
      <c r="G64" s="1"/>
      <c r="H64" s="1"/>
      <c r="I64" s="1"/>
    </row>
    <row r="65" spans="1:9" x14ac:dyDescent="0.25">
      <c r="A65" s="1"/>
      <c r="B65" s="1"/>
      <c r="C65" s="1"/>
      <c r="D65" s="1"/>
      <c r="E65" s="1"/>
      <c r="F65" s="1"/>
      <c r="G65" s="1"/>
      <c r="H65" s="1"/>
      <c r="I65" s="1"/>
    </row>
    <row r="66" spans="1:9" x14ac:dyDescent="0.25">
      <c r="A66" s="1"/>
      <c r="B66" s="1"/>
      <c r="C66" s="1"/>
      <c r="D66" s="1"/>
      <c r="E66" s="1"/>
      <c r="F66" s="1"/>
      <c r="G66" s="1"/>
      <c r="H66" s="1"/>
      <c r="I66" s="1"/>
    </row>
    <row r="67" spans="1:9" x14ac:dyDescent="0.25">
      <c r="A67" s="1"/>
      <c r="B67" s="1"/>
      <c r="C67" s="1"/>
      <c r="D67" s="1"/>
      <c r="E67" s="1"/>
      <c r="F67" s="1"/>
      <c r="G67" s="1"/>
      <c r="H67" s="1"/>
      <c r="I67" s="1"/>
    </row>
    <row r="68" spans="1:9" x14ac:dyDescent="0.25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25">
      <c r="A69" s="1"/>
      <c r="B69" s="1"/>
      <c r="C69" s="1"/>
      <c r="D69" s="1"/>
      <c r="E69" s="1"/>
      <c r="F69" s="1"/>
      <c r="G69" s="1"/>
      <c r="H69" s="1"/>
      <c r="I69" s="1"/>
    </row>
    <row r="70" spans="1:9" x14ac:dyDescent="0.25">
      <c r="A70" s="1"/>
      <c r="B70" s="1"/>
      <c r="C70" s="1"/>
      <c r="D70" s="1"/>
      <c r="E70" s="1"/>
      <c r="F70" s="1"/>
      <c r="G70" s="1"/>
      <c r="H70" s="1"/>
      <c r="I70" s="1"/>
    </row>
    <row r="71" spans="1:9" x14ac:dyDescent="0.25">
      <c r="A71" s="1"/>
      <c r="B71" s="1"/>
      <c r="C71" s="1"/>
      <c r="D71" s="1"/>
      <c r="E71" s="1"/>
      <c r="F71" s="1"/>
      <c r="G71" s="1"/>
      <c r="H71" s="1"/>
      <c r="I71" s="1"/>
    </row>
  </sheetData>
  <mergeCells count="64">
    <mergeCell ref="A2:B2"/>
    <mergeCell ref="D2:G2"/>
    <mergeCell ref="H2:J2"/>
    <mergeCell ref="A3:C3"/>
    <mergeCell ref="A4:C4"/>
    <mergeCell ref="D4:G4"/>
    <mergeCell ref="H4:J4"/>
    <mergeCell ref="A5:C5"/>
    <mergeCell ref="D5:G5"/>
    <mergeCell ref="H5:J5"/>
    <mergeCell ref="A6:C6"/>
    <mergeCell ref="D6:G6"/>
    <mergeCell ref="H6:J6"/>
    <mergeCell ref="G17:I18"/>
    <mergeCell ref="L6:N7"/>
    <mergeCell ref="D7:J7"/>
    <mergeCell ref="A8:B8"/>
    <mergeCell ref="D8:J8"/>
    <mergeCell ref="D9:J9"/>
    <mergeCell ref="D10:J10"/>
    <mergeCell ref="B12:C12"/>
    <mergeCell ref="B13:C13"/>
    <mergeCell ref="H13:J13"/>
    <mergeCell ref="D14:J14"/>
    <mergeCell ref="A15:B15"/>
    <mergeCell ref="B30:J30"/>
    <mergeCell ref="D21:J21"/>
    <mergeCell ref="A22:B22"/>
    <mergeCell ref="D22:E22"/>
    <mergeCell ref="G22:H22"/>
    <mergeCell ref="I22:J22"/>
    <mergeCell ref="A24:C24"/>
    <mergeCell ref="D24:F24"/>
    <mergeCell ref="D25:J25"/>
    <mergeCell ref="B26:J26"/>
    <mergeCell ref="D27:J27"/>
    <mergeCell ref="H28:J28"/>
    <mergeCell ref="D29:J29"/>
    <mergeCell ref="D31:J31"/>
    <mergeCell ref="I32:J32"/>
    <mergeCell ref="A33:B33"/>
    <mergeCell ref="I33:J33"/>
    <mergeCell ref="A34:B34"/>
    <mergeCell ref="I34:J34"/>
    <mergeCell ref="A35:B35"/>
    <mergeCell ref="I35:J35"/>
    <mergeCell ref="A36:B36"/>
    <mergeCell ref="I36:J36"/>
    <mergeCell ref="A37:B37"/>
    <mergeCell ref="I37:J37"/>
    <mergeCell ref="A38:B38"/>
    <mergeCell ref="I38:J38"/>
    <mergeCell ref="A39:J39"/>
    <mergeCell ref="D40:J40"/>
    <mergeCell ref="A42:B42"/>
    <mergeCell ref="C42:E42"/>
    <mergeCell ref="F42:J42"/>
    <mergeCell ref="G50:J50"/>
    <mergeCell ref="D43:J43"/>
    <mergeCell ref="A44:J44"/>
    <mergeCell ref="A45:J45"/>
    <mergeCell ref="D46:J46"/>
    <mergeCell ref="A47:B49"/>
    <mergeCell ref="C47:J49"/>
  </mergeCells>
  <dataValidations count="1">
    <dataValidation type="list" allowBlank="1" showInputMessage="1" showErrorMessage="1" sqref="A33:B37" xr:uid="{C1170E2F-97B0-CC44-9D13-57A3A58322E4}">
      <formula1>$N$33:$N$38</formula1>
    </dataValidation>
  </dataValidations>
  <printOptions horizontalCentered="1"/>
  <pageMargins left="3.937007874015748E-2" right="3.937007874015748E-2" top="0" bottom="0" header="0.31496062992125984" footer="0.31496062992125984"/>
  <pageSetup paperSize="9" scale="85" fitToHeight="0" orientation="portrait" copies="3" r:id="rId1"/>
  <headerFooter alignWithMargins="0">
    <oddFooter>&amp;L&amp;"Arial Unicode MS,Normal"&amp;8&amp;F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072BF-728C-2645-82B7-FF2F9C2AD97B}">
  <sheetPr>
    <pageSetUpPr fitToPage="1"/>
  </sheetPr>
  <dimension ref="A1:N71"/>
  <sheetViews>
    <sheetView tabSelected="1" zoomScale="150" zoomScaleNormal="150" workbookViewId="0">
      <selection activeCell="L42" sqref="L42"/>
    </sheetView>
  </sheetViews>
  <sheetFormatPr baseColWidth="10" defaultColWidth="11.5" defaultRowHeight="16" x14ac:dyDescent="0.25"/>
  <cols>
    <col min="1" max="1" width="15.5" style="2" customWidth="1"/>
    <col min="2" max="3" width="16.5" style="2" customWidth="1"/>
    <col min="4" max="5" width="10.83203125" style="2" customWidth="1"/>
    <col min="6" max="6" width="10.5" style="2" customWidth="1"/>
    <col min="7" max="7" width="10.33203125" style="2" customWidth="1"/>
    <col min="8" max="8" width="12.33203125" style="2" customWidth="1"/>
    <col min="9" max="9" width="9" style="2" customWidth="1"/>
    <col min="10" max="10" width="12.33203125" style="2" customWidth="1"/>
    <col min="11" max="13" width="11.5" style="2"/>
    <col min="14" max="14" width="35" style="2" bestFit="1" customWidth="1"/>
    <col min="15" max="16384" width="11.5" style="2"/>
  </cols>
  <sheetData>
    <row r="1" spans="1:14" ht="3.75" customHeight="1" x14ac:dyDescent="0.25">
      <c r="A1" s="9"/>
      <c r="B1" s="9"/>
      <c r="C1" s="9"/>
      <c r="D1" s="41"/>
      <c r="E1" s="42"/>
      <c r="F1" s="42"/>
      <c r="G1" s="42"/>
      <c r="H1" s="42"/>
      <c r="I1" s="42"/>
      <c r="J1" s="43"/>
    </row>
    <row r="2" spans="1:14" s="8" customFormat="1" ht="14.25" customHeight="1" x14ac:dyDescent="0.15">
      <c r="A2" s="99" t="s">
        <v>23</v>
      </c>
      <c r="B2" s="99"/>
      <c r="D2" s="100" t="s">
        <v>41</v>
      </c>
      <c r="E2" s="101"/>
      <c r="F2" s="101"/>
      <c r="G2" s="101"/>
      <c r="H2" s="91" t="s">
        <v>71</v>
      </c>
      <c r="I2" s="91"/>
      <c r="J2" s="92"/>
    </row>
    <row r="3" spans="1:14" s="8" customFormat="1" x14ac:dyDescent="0.15">
      <c r="A3" s="89" t="s">
        <v>52</v>
      </c>
      <c r="B3" s="89"/>
      <c r="C3" s="89"/>
      <c r="D3" s="36"/>
      <c r="J3" s="37"/>
    </row>
    <row r="4" spans="1:14" s="8" customFormat="1" ht="15.75" customHeight="1" x14ac:dyDescent="0.15">
      <c r="A4" s="89" t="s">
        <v>53</v>
      </c>
      <c r="B4" s="89"/>
      <c r="C4" s="89"/>
      <c r="D4" s="100" t="s">
        <v>40</v>
      </c>
      <c r="E4" s="101"/>
      <c r="F4" s="101"/>
      <c r="G4" s="101"/>
      <c r="H4" s="102">
        <v>20260292</v>
      </c>
      <c r="I4" s="102"/>
      <c r="J4" s="103"/>
      <c r="L4" s="10"/>
    </row>
    <row r="5" spans="1:14" s="8" customFormat="1" ht="18" x14ac:dyDescent="0.15">
      <c r="A5" s="89" t="s">
        <v>54</v>
      </c>
      <c r="B5" s="89"/>
      <c r="C5" s="89"/>
      <c r="D5" s="95"/>
      <c r="E5" s="96"/>
      <c r="F5" s="96"/>
      <c r="G5" s="96"/>
      <c r="H5" s="97"/>
      <c r="I5" s="97"/>
      <c r="J5" s="98"/>
    </row>
    <row r="6" spans="1:14" s="8" customFormat="1" ht="17.25" customHeight="1" x14ac:dyDescent="0.15">
      <c r="A6" s="89"/>
      <c r="B6" s="89"/>
      <c r="C6" s="89"/>
      <c r="D6" s="95" t="s">
        <v>58</v>
      </c>
      <c r="E6" s="96"/>
      <c r="F6" s="96"/>
      <c r="G6" s="96"/>
      <c r="H6" s="97">
        <v>46199</v>
      </c>
      <c r="I6" s="97"/>
      <c r="J6" s="98"/>
      <c r="L6" s="81"/>
      <c r="M6" s="81"/>
      <c r="N6" s="81"/>
    </row>
    <row r="7" spans="1:14" s="8" customFormat="1" ht="17" x14ac:dyDescent="0.15">
      <c r="D7" s="82"/>
      <c r="E7" s="83"/>
      <c r="F7" s="83"/>
      <c r="G7" s="83"/>
      <c r="H7" s="83"/>
      <c r="I7" s="83"/>
      <c r="J7" s="84"/>
      <c r="L7" s="81"/>
      <c r="M7" s="81"/>
      <c r="N7" s="81"/>
    </row>
    <row r="8" spans="1:14" s="8" customFormat="1" ht="18" x14ac:dyDescent="0.15">
      <c r="A8" s="85" t="s">
        <v>0</v>
      </c>
      <c r="B8" s="85"/>
      <c r="D8" s="86" t="s">
        <v>42</v>
      </c>
      <c r="E8" s="87"/>
      <c r="F8" s="87"/>
      <c r="G8" s="87"/>
      <c r="H8" s="87"/>
      <c r="I8" s="87"/>
      <c r="J8" s="88"/>
    </row>
    <row r="9" spans="1:14" s="8" customFormat="1" ht="12.75" customHeight="1" x14ac:dyDescent="0.15">
      <c r="A9" s="7" t="s">
        <v>1</v>
      </c>
      <c r="B9" s="47" t="s">
        <v>56</v>
      </c>
      <c r="C9" s="47"/>
      <c r="D9" s="82" t="s">
        <v>43</v>
      </c>
      <c r="E9" s="83"/>
      <c r="F9" s="83"/>
      <c r="G9" s="83"/>
      <c r="H9" s="83"/>
      <c r="I9" s="83"/>
      <c r="J9" s="84"/>
    </row>
    <row r="10" spans="1:14" s="8" customFormat="1" ht="12.75" customHeight="1" x14ac:dyDescent="0.15">
      <c r="A10" s="7" t="s">
        <v>2</v>
      </c>
      <c r="B10" s="47">
        <v>93830600283</v>
      </c>
      <c r="C10" s="47"/>
      <c r="D10" s="82" t="s">
        <v>11</v>
      </c>
      <c r="E10" s="83"/>
      <c r="F10" s="83"/>
      <c r="G10" s="83"/>
      <c r="H10" s="83"/>
      <c r="I10" s="83"/>
      <c r="J10" s="84"/>
    </row>
    <row r="11" spans="1:14" s="8" customFormat="1" ht="12.75" customHeight="1" x14ac:dyDescent="0.15">
      <c r="A11" s="7" t="s">
        <v>3</v>
      </c>
      <c r="B11" s="49">
        <v>84089988400026</v>
      </c>
      <c r="C11" s="47"/>
      <c r="D11" s="36"/>
      <c r="J11" s="37"/>
    </row>
    <row r="12" spans="1:14" s="8" customFormat="1" ht="12.75" customHeight="1" x14ac:dyDescent="0.15">
      <c r="A12" s="7" t="s">
        <v>4</v>
      </c>
      <c r="B12" s="89" t="s">
        <v>55</v>
      </c>
      <c r="C12" s="89"/>
      <c r="D12" s="38" t="s">
        <v>24</v>
      </c>
      <c r="E12" s="10"/>
      <c r="F12" s="10"/>
      <c r="G12" s="11"/>
      <c r="H12" s="11"/>
      <c r="J12" s="37"/>
    </row>
    <row r="13" spans="1:14" s="8" customFormat="1" ht="15.75" customHeight="1" x14ac:dyDescent="0.15">
      <c r="B13" s="90"/>
      <c r="C13" s="90"/>
      <c r="D13" s="36" t="s">
        <v>19</v>
      </c>
      <c r="G13" s="12"/>
      <c r="H13" s="91">
        <v>51190</v>
      </c>
      <c r="I13" s="91"/>
      <c r="J13" s="92"/>
    </row>
    <row r="14" spans="1:14" ht="3" customHeight="1" x14ac:dyDescent="0.25">
      <c r="D14" s="93"/>
      <c r="E14" s="51"/>
      <c r="F14" s="51"/>
      <c r="G14" s="51"/>
      <c r="H14" s="51"/>
      <c r="I14" s="51"/>
      <c r="J14" s="94"/>
    </row>
    <row r="15" spans="1:14" x14ac:dyDescent="0.25">
      <c r="A15" s="85" t="s">
        <v>5</v>
      </c>
      <c r="B15" s="85"/>
      <c r="C15" s="13"/>
      <c r="D15" s="39"/>
      <c r="I15" s="14"/>
      <c r="J15" s="40"/>
      <c r="K15" s="14"/>
    </row>
    <row r="16" spans="1:14" s="8" customFormat="1" ht="12.75" customHeight="1" x14ac:dyDescent="0.2">
      <c r="A16" s="7" t="s">
        <v>6</v>
      </c>
      <c r="B16" s="47" t="s">
        <v>59</v>
      </c>
      <c r="D16" s="38" t="s">
        <v>22</v>
      </c>
      <c r="E16" s="10"/>
      <c r="F16" s="10"/>
      <c r="G16" s="8" t="s">
        <v>50</v>
      </c>
      <c r="H16" s="14"/>
      <c r="J16" s="37"/>
    </row>
    <row r="17" spans="1:10" s="8" customFormat="1" ht="12.75" customHeight="1" x14ac:dyDescent="0.15">
      <c r="A17" s="7" t="s">
        <v>7</v>
      </c>
      <c r="B17" s="47">
        <v>16958</v>
      </c>
      <c r="D17" s="36"/>
      <c r="G17" s="80" t="s">
        <v>51</v>
      </c>
      <c r="H17" s="80"/>
      <c r="I17" s="80"/>
      <c r="J17" s="37"/>
    </row>
    <row r="18" spans="1:10" s="8" customFormat="1" ht="12.75" customHeight="1" x14ac:dyDescent="0.15">
      <c r="A18" s="7" t="s">
        <v>8</v>
      </c>
      <c r="B18" s="48" t="s">
        <v>62</v>
      </c>
      <c r="D18" s="36"/>
      <c r="G18" s="80"/>
      <c r="H18" s="80"/>
      <c r="I18" s="80"/>
      <c r="J18" s="37"/>
    </row>
    <row r="19" spans="1:10" s="8" customFormat="1" ht="12.75" customHeight="1" x14ac:dyDescent="0.15">
      <c r="A19" s="7" t="s">
        <v>9</v>
      </c>
      <c r="B19" s="47">
        <v>23326192434</v>
      </c>
      <c r="D19" s="36"/>
      <c r="J19" s="37"/>
    </row>
    <row r="20" spans="1:10" s="8" customFormat="1" ht="12.75" customHeight="1" x14ac:dyDescent="0.15">
      <c r="A20" s="7" t="s">
        <v>10</v>
      </c>
      <c r="B20" s="47">
        <v>45</v>
      </c>
      <c r="D20" s="44"/>
      <c r="E20" s="45"/>
      <c r="F20" s="45"/>
      <c r="G20" s="45"/>
      <c r="H20" s="45"/>
      <c r="I20" s="45"/>
      <c r="J20" s="46"/>
    </row>
    <row r="21" spans="1:10" ht="10.5" customHeight="1" x14ac:dyDescent="0.25">
      <c r="D21" s="51"/>
      <c r="E21" s="51"/>
      <c r="F21" s="51"/>
      <c r="G21" s="51"/>
      <c r="H21" s="51"/>
      <c r="I21" s="51"/>
      <c r="J21" s="51"/>
    </row>
    <row r="22" spans="1:10" s="8" customFormat="1" ht="21.75" customHeight="1" x14ac:dyDescent="0.15">
      <c r="A22" s="76" t="s">
        <v>34</v>
      </c>
      <c r="B22" s="76"/>
      <c r="C22" s="20" t="s">
        <v>29</v>
      </c>
      <c r="D22" s="74">
        <v>46174</v>
      </c>
      <c r="E22" s="75"/>
      <c r="F22" s="21" t="s">
        <v>30</v>
      </c>
      <c r="G22" s="74">
        <v>46199</v>
      </c>
      <c r="H22" s="75"/>
      <c r="I22" s="73" t="s">
        <v>28</v>
      </c>
      <c r="J22" s="73"/>
    </row>
    <row r="23" spans="1:10" s="8" customFormat="1" ht="3.75" customHeight="1" x14ac:dyDescent="0.15">
      <c r="A23" s="31"/>
      <c r="B23" s="31"/>
      <c r="C23" s="20"/>
      <c r="D23" s="20"/>
      <c r="E23" s="20"/>
      <c r="F23" s="20"/>
      <c r="G23" s="21"/>
      <c r="H23" s="20"/>
      <c r="I23" s="31"/>
      <c r="J23" s="31"/>
    </row>
    <row r="24" spans="1:10" s="8" customFormat="1" ht="21.75" customHeight="1" x14ac:dyDescent="0.15">
      <c r="A24" s="77" t="s">
        <v>35</v>
      </c>
      <c r="B24" s="77"/>
      <c r="C24" s="77"/>
      <c r="D24" s="75" t="s">
        <v>71</v>
      </c>
      <c r="E24" s="75"/>
      <c r="F24" s="75"/>
      <c r="G24" s="21"/>
      <c r="H24" s="20"/>
      <c r="I24" s="31"/>
      <c r="J24" s="31"/>
    </row>
    <row r="25" spans="1:10" ht="3" customHeight="1" x14ac:dyDescent="0.25">
      <c r="D25" s="51"/>
      <c r="E25" s="51"/>
      <c r="F25" s="51"/>
      <c r="G25" s="51"/>
      <c r="H25" s="51"/>
      <c r="I25" s="51"/>
      <c r="J25" s="51"/>
    </row>
    <row r="26" spans="1:10" s="1" customFormat="1" ht="21.75" customHeight="1" x14ac:dyDescent="0.2">
      <c r="A26" s="3" t="s">
        <v>12</v>
      </c>
      <c r="B26" s="78" t="s">
        <v>60</v>
      </c>
      <c r="C26" s="78"/>
      <c r="D26" s="78"/>
      <c r="E26" s="78"/>
      <c r="F26" s="78"/>
      <c r="G26" s="78"/>
      <c r="H26" s="78"/>
      <c r="I26" s="78"/>
      <c r="J26" s="78"/>
    </row>
    <row r="27" spans="1:10" ht="3" customHeight="1" x14ac:dyDescent="0.25">
      <c r="D27" s="51"/>
      <c r="E27" s="51"/>
      <c r="F27" s="51"/>
      <c r="G27" s="51"/>
      <c r="H27" s="51"/>
      <c r="I27" s="51"/>
      <c r="J27" s="51"/>
    </row>
    <row r="28" spans="1:10" s="1" customFormat="1" ht="21.75" customHeight="1" x14ac:dyDescent="0.2">
      <c r="A28" s="4" t="s">
        <v>13</v>
      </c>
      <c r="B28" s="6">
        <v>46113</v>
      </c>
      <c r="C28" s="4" t="s">
        <v>14</v>
      </c>
      <c r="D28" s="6">
        <v>46199</v>
      </c>
      <c r="E28" s="6"/>
      <c r="F28" s="6"/>
      <c r="G28" s="5"/>
      <c r="H28" s="79"/>
      <c r="I28" s="79"/>
      <c r="J28" s="79"/>
    </row>
    <row r="29" spans="1:10" ht="3" customHeight="1" x14ac:dyDescent="0.25">
      <c r="D29" s="51"/>
      <c r="E29" s="51"/>
      <c r="F29" s="51"/>
      <c r="G29" s="51"/>
      <c r="H29" s="51"/>
      <c r="I29" s="51"/>
      <c r="J29" s="51"/>
    </row>
    <row r="30" spans="1:10" s="1" customFormat="1" ht="21.75" customHeight="1" x14ac:dyDescent="0.2">
      <c r="A30" s="4" t="s">
        <v>15</v>
      </c>
      <c r="B30" s="72" t="s">
        <v>57</v>
      </c>
      <c r="C30" s="72"/>
      <c r="D30" s="72"/>
      <c r="E30" s="72"/>
      <c r="F30" s="72"/>
      <c r="G30" s="72"/>
      <c r="H30" s="72"/>
      <c r="I30" s="72"/>
      <c r="J30" s="72"/>
    </row>
    <row r="31" spans="1:10" ht="3" customHeight="1" x14ac:dyDescent="0.25">
      <c r="D31" s="51"/>
      <c r="E31" s="51"/>
      <c r="F31" s="51"/>
      <c r="G31" s="51"/>
      <c r="H31" s="51"/>
      <c r="I31" s="51"/>
      <c r="J31" s="51"/>
    </row>
    <row r="32" spans="1:10" ht="53.25" customHeight="1" x14ac:dyDescent="0.25">
      <c r="A32" s="32" t="s">
        <v>36</v>
      </c>
      <c r="B32" s="35"/>
      <c r="C32" s="22" t="s">
        <v>31</v>
      </c>
      <c r="D32" s="22" t="s">
        <v>37</v>
      </c>
      <c r="E32" s="22" t="s">
        <v>32</v>
      </c>
      <c r="F32" s="22" t="s">
        <v>16</v>
      </c>
      <c r="G32" s="16" t="s">
        <v>17</v>
      </c>
      <c r="H32" s="28" t="s">
        <v>18</v>
      </c>
      <c r="I32" s="71" t="s">
        <v>20</v>
      </c>
      <c r="J32" s="71"/>
    </row>
    <row r="33" spans="1:14" ht="43.5" customHeight="1" x14ac:dyDescent="0.25">
      <c r="A33" s="68" t="s">
        <v>45</v>
      </c>
      <c r="B33" s="69"/>
      <c r="C33" s="17">
        <v>1122</v>
      </c>
      <c r="D33" s="23">
        <v>0</v>
      </c>
      <c r="E33" s="25">
        <v>0</v>
      </c>
      <c r="F33" s="23">
        <v>0</v>
      </c>
      <c r="G33" s="17">
        <f>C33+F33</f>
        <v>1122</v>
      </c>
      <c r="H33" s="29">
        <v>12.1</v>
      </c>
      <c r="I33" s="70">
        <f>(G33)*H33</f>
        <v>13576.199999999999</v>
      </c>
      <c r="J33" s="70"/>
      <c r="N33" s="2" t="s">
        <v>45</v>
      </c>
    </row>
    <row r="34" spans="1:14" ht="43.25" customHeight="1" x14ac:dyDescent="0.25">
      <c r="A34" s="68" t="s">
        <v>49</v>
      </c>
      <c r="B34" s="69"/>
      <c r="C34" s="17">
        <v>175</v>
      </c>
      <c r="D34" s="23">
        <v>0</v>
      </c>
      <c r="E34" s="25">
        <v>0</v>
      </c>
      <c r="F34" s="23">
        <v>0</v>
      </c>
      <c r="G34" s="17">
        <f>C34+F34</f>
        <v>175</v>
      </c>
      <c r="H34" s="29">
        <v>12.1</v>
      </c>
      <c r="I34" s="70">
        <f>(G34)*H34</f>
        <v>2117.5</v>
      </c>
      <c r="J34" s="70"/>
      <c r="N34" s="2" t="s">
        <v>49</v>
      </c>
    </row>
    <row r="35" spans="1:14" ht="43.5" customHeight="1" x14ac:dyDescent="0.25">
      <c r="A35" s="68"/>
      <c r="B35" s="69"/>
      <c r="C35" s="17"/>
      <c r="D35" s="23"/>
      <c r="E35" s="25"/>
      <c r="F35" s="23"/>
      <c r="G35" s="17">
        <f t="shared" ref="G35:G36" si="0">C35+F35</f>
        <v>0</v>
      </c>
      <c r="H35" s="29"/>
      <c r="I35" s="70">
        <f t="shared" ref="I35:I38" si="1">(G35)*H35</f>
        <v>0</v>
      </c>
      <c r="J35" s="70"/>
      <c r="N35" s="2" t="s">
        <v>46</v>
      </c>
    </row>
    <row r="36" spans="1:14" ht="43.5" customHeight="1" x14ac:dyDescent="0.25">
      <c r="A36" s="68"/>
      <c r="B36" s="69"/>
      <c r="C36" s="17"/>
      <c r="D36" s="23"/>
      <c r="E36" s="25"/>
      <c r="F36" s="23"/>
      <c r="G36" s="17">
        <f t="shared" si="0"/>
        <v>0</v>
      </c>
      <c r="H36" s="29"/>
      <c r="I36" s="70">
        <f t="shared" si="1"/>
        <v>0</v>
      </c>
      <c r="J36" s="70"/>
      <c r="N36" s="2" t="s">
        <v>48</v>
      </c>
    </row>
    <row r="37" spans="1:14" ht="43.5" customHeight="1" x14ac:dyDescent="0.25">
      <c r="A37" s="68"/>
      <c r="B37" s="69"/>
      <c r="C37" s="17"/>
      <c r="D37" s="23"/>
      <c r="E37" s="25"/>
      <c r="F37" s="23"/>
      <c r="G37" s="17">
        <f>C37+F37</f>
        <v>0</v>
      </c>
      <c r="H37" s="29"/>
      <c r="I37" s="70">
        <f t="shared" si="1"/>
        <v>0</v>
      </c>
      <c r="J37" s="70"/>
      <c r="N37" s="2" t="s">
        <v>47</v>
      </c>
    </row>
    <row r="38" spans="1:14" ht="43.5" customHeight="1" x14ac:dyDescent="0.25">
      <c r="A38" s="59"/>
      <c r="B38" s="60"/>
      <c r="C38" s="18" t="s">
        <v>21</v>
      </c>
      <c r="D38" s="24">
        <f>SUM(D33:D37)</f>
        <v>0</v>
      </c>
      <c r="E38" s="24">
        <f>SUM(E33:E37)</f>
        <v>0</v>
      </c>
      <c r="F38" s="24">
        <f>SUM(F33:F37)</f>
        <v>0</v>
      </c>
      <c r="G38" s="19">
        <f>SUM(G33:G37)</f>
        <v>1297</v>
      </c>
      <c r="H38" s="30">
        <v>12.1</v>
      </c>
      <c r="I38" s="61">
        <f>SUM(I33:J37)</f>
        <v>15693.699999999999</v>
      </c>
      <c r="J38" s="61"/>
      <c r="L38" s="33" t="s">
        <v>39</v>
      </c>
      <c r="M38" s="34" t="e">
        <f>I33+#REF!+#REF!+I37</f>
        <v>#REF!</v>
      </c>
    </row>
    <row r="39" spans="1:14" ht="12.75" customHeight="1" x14ac:dyDescent="0.25">
      <c r="A39" s="62"/>
      <c r="B39" s="62"/>
      <c r="C39" s="62"/>
      <c r="D39" s="62"/>
      <c r="E39" s="62"/>
      <c r="F39" s="62"/>
      <c r="G39" s="62"/>
      <c r="H39" s="62"/>
      <c r="I39" s="62"/>
      <c r="J39" s="62"/>
    </row>
    <row r="40" spans="1:14" ht="3" customHeight="1" x14ac:dyDescent="0.25">
      <c r="D40" s="51"/>
      <c r="E40" s="51"/>
      <c r="F40" s="51"/>
      <c r="G40" s="51"/>
      <c r="H40" s="51"/>
      <c r="I40" s="51"/>
      <c r="J40" s="51"/>
      <c r="N40" s="33" t="s">
        <v>38</v>
      </c>
    </row>
    <row r="41" spans="1:14" ht="7.5" customHeight="1" x14ac:dyDescent="0.25">
      <c r="A41" s="26"/>
      <c r="B41" s="26"/>
      <c r="C41" s="27"/>
      <c r="D41" s="27"/>
      <c r="E41" s="27"/>
      <c r="F41" s="27"/>
      <c r="G41" s="27"/>
      <c r="H41" s="27"/>
      <c r="I41" s="27"/>
      <c r="J41" s="27"/>
    </row>
    <row r="42" spans="1:14" ht="31.5" customHeight="1" x14ac:dyDescent="0.25">
      <c r="A42" s="63" t="s">
        <v>27</v>
      </c>
      <c r="B42" s="63"/>
      <c r="C42" s="64">
        <f>I38</f>
        <v>15693.699999999999</v>
      </c>
      <c r="D42" s="65"/>
      <c r="E42" s="66"/>
      <c r="F42" s="67" t="s">
        <v>72</v>
      </c>
      <c r="G42" s="67"/>
      <c r="H42" s="67"/>
      <c r="I42" s="67"/>
      <c r="J42" s="67"/>
    </row>
    <row r="43" spans="1:14" ht="3" customHeight="1" x14ac:dyDescent="0.25">
      <c r="D43" s="51"/>
      <c r="E43" s="51"/>
      <c r="F43" s="51"/>
      <c r="G43" s="51"/>
      <c r="H43" s="51"/>
      <c r="I43" s="51"/>
      <c r="J43" s="51"/>
    </row>
    <row r="44" spans="1:14" ht="25.5" customHeight="1" x14ac:dyDescent="0.25">
      <c r="A44" s="52" t="s">
        <v>44</v>
      </c>
      <c r="B44" s="53"/>
      <c r="C44" s="53"/>
      <c r="D44" s="53"/>
      <c r="E44" s="53"/>
      <c r="F44" s="53"/>
      <c r="G44" s="53"/>
      <c r="H44" s="53"/>
      <c r="I44" s="53"/>
      <c r="J44" s="54"/>
      <c r="K44" s="9"/>
      <c r="L44" s="9"/>
      <c r="M44" s="9"/>
      <c r="N44" s="9"/>
    </row>
    <row r="45" spans="1:14" s="1" customFormat="1" ht="24.75" customHeight="1" x14ac:dyDescent="0.2">
      <c r="A45" s="55" t="s">
        <v>25</v>
      </c>
      <c r="B45" s="56"/>
      <c r="C45" s="56"/>
      <c r="D45" s="56"/>
      <c r="E45" s="56"/>
      <c r="F45" s="56"/>
      <c r="G45" s="56"/>
      <c r="H45" s="56"/>
      <c r="I45" s="56"/>
      <c r="J45" s="56"/>
    </row>
    <row r="46" spans="1:14" ht="3" customHeight="1" x14ac:dyDescent="0.25">
      <c r="D46" s="51"/>
      <c r="E46" s="51"/>
      <c r="F46" s="51"/>
      <c r="G46" s="51"/>
      <c r="H46" s="51"/>
      <c r="I46" s="51"/>
      <c r="J46" s="51"/>
    </row>
    <row r="47" spans="1:14" s="8" customFormat="1" ht="27.75" customHeight="1" x14ac:dyDescent="0.15">
      <c r="A47" s="57" t="s">
        <v>26</v>
      </c>
      <c r="B47" s="57"/>
      <c r="C47" s="58" t="s">
        <v>33</v>
      </c>
      <c r="D47" s="58"/>
      <c r="E47" s="58"/>
      <c r="F47" s="58"/>
      <c r="G47" s="58"/>
      <c r="H47" s="58"/>
      <c r="I47" s="58"/>
      <c r="J47" s="58"/>
    </row>
    <row r="48" spans="1:14" ht="27.75" customHeight="1" x14ac:dyDescent="0.25">
      <c r="A48" s="57"/>
      <c r="B48" s="57"/>
      <c r="C48" s="58"/>
      <c r="D48" s="58"/>
      <c r="E48" s="58"/>
      <c r="F48" s="58"/>
      <c r="G48" s="58"/>
      <c r="H48" s="58"/>
      <c r="I48" s="58"/>
      <c r="J48" s="58"/>
    </row>
    <row r="49" spans="1:10" ht="27.75" customHeight="1" x14ac:dyDescent="0.25">
      <c r="A49" s="57"/>
      <c r="B49" s="57"/>
      <c r="C49" s="58"/>
      <c r="D49" s="58"/>
      <c r="E49" s="58"/>
      <c r="F49" s="58"/>
      <c r="G49" s="58"/>
      <c r="H49" s="58"/>
      <c r="I49" s="58"/>
      <c r="J49" s="58"/>
    </row>
    <row r="50" spans="1:10" ht="13.5" customHeight="1" x14ac:dyDescent="0.25">
      <c r="B50" s="15"/>
      <c r="C50" s="15"/>
      <c r="D50" s="15" t="s">
        <v>61</v>
      </c>
      <c r="E50" s="15"/>
      <c r="F50" s="15"/>
      <c r="G50" s="50"/>
      <c r="H50" s="50"/>
      <c r="I50" s="50"/>
      <c r="J50" s="50"/>
    </row>
    <row r="51" spans="1:10" x14ac:dyDescent="0.25">
      <c r="A51" s="1"/>
      <c r="B51" s="1"/>
      <c r="C51" s="1"/>
      <c r="D51" s="1"/>
      <c r="E51" s="1"/>
      <c r="F51" s="1"/>
      <c r="G51" s="1"/>
      <c r="H51" s="1"/>
      <c r="I51" s="1"/>
    </row>
    <row r="52" spans="1:10" x14ac:dyDescent="0.25">
      <c r="A52" s="1"/>
      <c r="B52" s="1"/>
      <c r="C52" s="1"/>
      <c r="D52" s="1"/>
      <c r="E52" s="1"/>
      <c r="F52" s="1"/>
      <c r="G52" s="1"/>
      <c r="H52" s="1"/>
      <c r="I52" s="1"/>
    </row>
    <row r="53" spans="1:10" x14ac:dyDescent="0.25">
      <c r="A53" s="1"/>
      <c r="B53" s="1"/>
      <c r="C53" s="1"/>
      <c r="D53" s="1"/>
      <c r="E53" s="1"/>
      <c r="F53" s="1"/>
      <c r="G53" s="1"/>
      <c r="H53" s="1"/>
      <c r="I53" s="1"/>
    </row>
    <row r="54" spans="1:10" x14ac:dyDescent="0.25">
      <c r="A54" s="1"/>
      <c r="B54" s="1"/>
      <c r="C54" s="1"/>
      <c r="D54" s="1"/>
      <c r="E54" s="1"/>
      <c r="F54" s="1"/>
      <c r="G54" s="1"/>
      <c r="H54" s="1"/>
      <c r="I54" s="1"/>
    </row>
    <row r="55" spans="1:10" x14ac:dyDescent="0.25">
      <c r="A55" s="1"/>
      <c r="B55" s="1"/>
      <c r="C55" s="1"/>
      <c r="D55" s="1"/>
      <c r="E55" s="1"/>
      <c r="F55" s="1"/>
      <c r="G55" s="1"/>
      <c r="H55" s="1"/>
      <c r="I55" s="1"/>
    </row>
    <row r="56" spans="1:10" x14ac:dyDescent="0.25">
      <c r="A56" s="1"/>
      <c r="B56" s="1"/>
      <c r="C56" s="1"/>
      <c r="D56" s="1"/>
      <c r="E56" s="1"/>
      <c r="F56" s="1"/>
      <c r="G56" s="1"/>
      <c r="H56" s="1"/>
      <c r="I56" s="1"/>
    </row>
    <row r="57" spans="1:10" x14ac:dyDescent="0.25">
      <c r="A57" s="1"/>
      <c r="B57" s="1"/>
      <c r="C57" s="1"/>
      <c r="D57" s="1"/>
      <c r="E57" s="1"/>
      <c r="F57" s="1"/>
      <c r="G57" s="1"/>
      <c r="H57" s="1"/>
      <c r="I57" s="1"/>
    </row>
    <row r="58" spans="1:10" x14ac:dyDescent="0.25">
      <c r="A58" s="1"/>
      <c r="B58" s="1"/>
      <c r="C58" s="1"/>
      <c r="D58" s="1"/>
      <c r="E58" s="1"/>
      <c r="F58" s="1"/>
      <c r="G58" s="1"/>
      <c r="H58" s="1"/>
      <c r="I58" s="1"/>
    </row>
    <row r="59" spans="1:10" x14ac:dyDescent="0.25">
      <c r="A59" s="1"/>
      <c r="B59" s="1"/>
      <c r="C59" s="1"/>
      <c r="D59" s="1"/>
      <c r="E59" s="1"/>
      <c r="F59" s="1"/>
      <c r="G59" s="1"/>
      <c r="H59" s="1"/>
      <c r="I59" s="1"/>
    </row>
    <row r="60" spans="1:10" x14ac:dyDescent="0.25">
      <c r="A60" s="1"/>
      <c r="B60" s="1"/>
      <c r="C60" s="1"/>
      <c r="D60" s="1"/>
      <c r="E60" s="1"/>
      <c r="F60" s="1"/>
      <c r="G60" s="1"/>
      <c r="H60" s="1"/>
      <c r="I60" s="1"/>
    </row>
    <row r="61" spans="1:10" x14ac:dyDescent="0.25">
      <c r="A61" s="1"/>
      <c r="B61" s="1"/>
      <c r="C61" s="1"/>
      <c r="D61" s="1"/>
      <c r="E61" s="1"/>
      <c r="F61" s="1"/>
      <c r="G61" s="1"/>
      <c r="H61" s="1"/>
      <c r="I61" s="1"/>
    </row>
    <row r="62" spans="1:10" x14ac:dyDescent="0.25">
      <c r="A62" s="1"/>
      <c r="B62" s="1"/>
      <c r="C62" s="1"/>
      <c r="D62" s="1"/>
      <c r="E62" s="1"/>
      <c r="F62" s="1"/>
      <c r="G62" s="1"/>
      <c r="H62" s="1"/>
      <c r="I62" s="1"/>
    </row>
    <row r="63" spans="1:10" x14ac:dyDescent="0.25">
      <c r="A63" s="1"/>
      <c r="B63" s="1"/>
      <c r="C63" s="1"/>
      <c r="D63" s="1"/>
      <c r="E63" s="1"/>
      <c r="F63" s="1"/>
      <c r="G63" s="1"/>
      <c r="H63" s="1"/>
      <c r="I63" s="1"/>
    </row>
    <row r="64" spans="1:10" x14ac:dyDescent="0.25">
      <c r="A64" s="1"/>
      <c r="B64" s="1"/>
      <c r="C64" s="1"/>
      <c r="D64" s="1"/>
      <c r="E64" s="1"/>
      <c r="F64" s="1"/>
      <c r="G64" s="1"/>
      <c r="H64" s="1"/>
      <c r="I64" s="1"/>
    </row>
    <row r="65" spans="1:9" x14ac:dyDescent="0.25">
      <c r="A65" s="1"/>
      <c r="B65" s="1"/>
      <c r="C65" s="1"/>
      <c r="D65" s="1"/>
      <c r="E65" s="1"/>
      <c r="F65" s="1"/>
      <c r="G65" s="1"/>
      <c r="H65" s="1"/>
      <c r="I65" s="1"/>
    </row>
    <row r="66" spans="1:9" x14ac:dyDescent="0.25">
      <c r="A66" s="1"/>
      <c r="B66" s="1"/>
      <c r="C66" s="1"/>
      <c r="D66" s="1"/>
      <c r="E66" s="1"/>
      <c r="F66" s="1"/>
      <c r="G66" s="1"/>
      <c r="H66" s="1"/>
      <c r="I66" s="1"/>
    </row>
    <row r="67" spans="1:9" x14ac:dyDescent="0.25">
      <c r="A67" s="1"/>
      <c r="B67" s="1"/>
      <c r="C67" s="1"/>
      <c r="D67" s="1"/>
      <c r="E67" s="1"/>
      <c r="F67" s="1"/>
      <c r="G67" s="1"/>
      <c r="H67" s="1"/>
      <c r="I67" s="1"/>
    </row>
    <row r="68" spans="1:9" x14ac:dyDescent="0.25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25">
      <c r="A69" s="1"/>
      <c r="B69" s="1"/>
      <c r="C69" s="1"/>
      <c r="D69" s="1"/>
      <c r="E69" s="1"/>
      <c r="F69" s="1"/>
      <c r="G69" s="1"/>
      <c r="H69" s="1"/>
      <c r="I69" s="1"/>
    </row>
    <row r="70" spans="1:9" x14ac:dyDescent="0.25">
      <c r="A70" s="1"/>
      <c r="B70" s="1"/>
      <c r="C70" s="1"/>
      <c r="D70" s="1"/>
      <c r="E70" s="1"/>
      <c r="F70" s="1"/>
      <c r="G70" s="1"/>
      <c r="H70" s="1"/>
      <c r="I70" s="1"/>
    </row>
    <row r="71" spans="1:9" x14ac:dyDescent="0.25">
      <c r="A71" s="1"/>
      <c r="B71" s="1"/>
      <c r="C71" s="1"/>
      <c r="D71" s="1"/>
      <c r="E71" s="1"/>
      <c r="F71" s="1"/>
      <c r="G71" s="1"/>
      <c r="H71" s="1"/>
      <c r="I71" s="1"/>
    </row>
  </sheetData>
  <mergeCells count="64">
    <mergeCell ref="G50:J50"/>
    <mergeCell ref="D43:J43"/>
    <mergeCell ref="A44:J44"/>
    <mergeCell ref="A45:J45"/>
    <mergeCell ref="D46:J46"/>
    <mergeCell ref="A47:B49"/>
    <mergeCell ref="C47:J49"/>
    <mergeCell ref="A38:B38"/>
    <mergeCell ref="I38:J38"/>
    <mergeCell ref="A39:J39"/>
    <mergeCell ref="D40:J40"/>
    <mergeCell ref="A42:B42"/>
    <mergeCell ref="C42:E42"/>
    <mergeCell ref="F42:J42"/>
    <mergeCell ref="A35:B35"/>
    <mergeCell ref="I35:J35"/>
    <mergeCell ref="A36:B36"/>
    <mergeCell ref="I36:J36"/>
    <mergeCell ref="A37:B37"/>
    <mergeCell ref="I37:J37"/>
    <mergeCell ref="D31:J31"/>
    <mergeCell ref="I32:J32"/>
    <mergeCell ref="A33:B33"/>
    <mergeCell ref="I33:J33"/>
    <mergeCell ref="A34:B34"/>
    <mergeCell ref="I34:J34"/>
    <mergeCell ref="D25:J25"/>
    <mergeCell ref="B26:J26"/>
    <mergeCell ref="D27:J27"/>
    <mergeCell ref="H28:J28"/>
    <mergeCell ref="D29:J29"/>
    <mergeCell ref="B30:J30"/>
    <mergeCell ref="D21:J21"/>
    <mergeCell ref="A22:B22"/>
    <mergeCell ref="D22:E22"/>
    <mergeCell ref="G22:H22"/>
    <mergeCell ref="I22:J22"/>
    <mergeCell ref="A24:C24"/>
    <mergeCell ref="D24:F24"/>
    <mergeCell ref="B12:C12"/>
    <mergeCell ref="B13:C13"/>
    <mergeCell ref="H13:J13"/>
    <mergeCell ref="D14:J14"/>
    <mergeCell ref="A15:B15"/>
    <mergeCell ref="G17:I18"/>
    <mergeCell ref="L6:N7"/>
    <mergeCell ref="D7:J7"/>
    <mergeCell ref="A8:B8"/>
    <mergeCell ref="D8:J8"/>
    <mergeCell ref="D9:J9"/>
    <mergeCell ref="D10:J10"/>
    <mergeCell ref="A5:C5"/>
    <mergeCell ref="D5:G5"/>
    <mergeCell ref="H5:J5"/>
    <mergeCell ref="A6:C6"/>
    <mergeCell ref="D6:G6"/>
    <mergeCell ref="H6:J6"/>
    <mergeCell ref="A2:B2"/>
    <mergeCell ref="D2:G2"/>
    <mergeCell ref="H2:J2"/>
    <mergeCell ref="A3:C3"/>
    <mergeCell ref="A4:C4"/>
    <mergeCell ref="D4:G4"/>
    <mergeCell ref="H4:J4"/>
  </mergeCells>
  <dataValidations count="1">
    <dataValidation type="list" allowBlank="1" showInputMessage="1" showErrorMessage="1" sqref="A33:B37" xr:uid="{9F5C87FA-BEB8-254E-8889-00CD4D5B6A19}">
      <formula1>$N$33:$N$38</formula1>
    </dataValidation>
  </dataValidations>
  <printOptions horizontalCentered="1"/>
  <pageMargins left="3.937007874015748E-2" right="3.937007874015748E-2" top="0" bottom="0" header="0.31496062992125984" footer="0.31496062992125984"/>
  <pageSetup paperSize="9" scale="85" fitToHeight="0" orientation="portrait" copies="3" r:id="rId1"/>
  <headerFooter alignWithMargins="0">
    <oddFooter>&amp;L&amp;"Arial Unicode MS,Normal"&amp;8&amp;F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5</vt:i4>
      </vt:variant>
    </vt:vector>
  </HeadingPairs>
  <TitlesOfParts>
    <vt:vector size="10" baseType="lpstr">
      <vt:lpstr>FACTURE DSF1</vt:lpstr>
      <vt:lpstr>FACTURE DSF4</vt:lpstr>
      <vt:lpstr>FACTURE DSF5</vt:lpstr>
      <vt:lpstr>FACTURE DSF6</vt:lpstr>
      <vt:lpstr>FACTURE DSF7</vt:lpstr>
      <vt:lpstr>'FACTURE DSF1'!Zone_d_impression</vt:lpstr>
      <vt:lpstr>'FACTURE DSF4'!Zone_d_impression</vt:lpstr>
      <vt:lpstr>'FACTURE DSF5'!Zone_d_impression</vt:lpstr>
      <vt:lpstr>'FACTURE DSF6'!Zone_d_impression</vt:lpstr>
      <vt:lpstr>'FACTURE DSF7'!Zone_d_impression</vt:lpstr>
    </vt:vector>
  </TitlesOfParts>
  <Company>ACADEMIQUE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GIP</dc:creator>
  <cp:lastModifiedBy>Clément VAILLANT</cp:lastModifiedBy>
  <cp:lastPrinted>2026-01-21T06:22:13Z</cp:lastPrinted>
  <dcterms:created xsi:type="dcterms:W3CDTF">2005-05-09T14:54:27Z</dcterms:created>
  <dcterms:modified xsi:type="dcterms:W3CDTF">2026-07-03T11:57:17Z</dcterms:modified>
</cp:coreProperties>
</file>